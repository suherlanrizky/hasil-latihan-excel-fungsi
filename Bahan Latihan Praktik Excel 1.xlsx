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download\Data Analyst\Excel Admin\"/>
    </mc:Choice>
  </mc:AlternateContent>
  <xr:revisionPtr revIDLastSave="0" documentId="13_ncr:1_{D447E994-2CC1-47C1-AF78-57AEDE650B21}" xr6:coauthVersionLast="47" xr6:coauthVersionMax="47" xr10:uidLastSave="{00000000-0000-0000-0000-000000000000}"/>
  <bookViews>
    <workbookView xWindow="-120" yWindow="-120" windowWidth="20730" windowHeight="11040" firstSheet="5" activeTab="7" xr2:uid="{98CB58E0-7F6F-4109-8C7A-0DF62B43DE16}"/>
  </bookViews>
  <sheets>
    <sheet name="Tiket" sheetId="1" r:id="rId1"/>
    <sheet name="Gaji" sheetId="2" r:id="rId2"/>
    <sheet name="Laporan Harian" sheetId="3" r:id="rId3"/>
    <sheet name="tiket_2" sheetId="4" r:id="rId4"/>
    <sheet name="peminjaman" sheetId="5" r:id="rId5"/>
    <sheet name="gaji2" sheetId="6" r:id="rId6"/>
    <sheet name="TABEL SOAL" sheetId="7" r:id="rId7"/>
    <sheet name="Gaji3" sheetId="8" r:id="rId8"/>
  </sheets>
  <definedNames>
    <definedName name="_xlnm.Print_Area" localSheetId="5">gaji2!$A$1:$J$23</definedName>
    <definedName name="_xlnm.Print_Area" localSheetId="7">Gaji3!$A$1:$J$23</definedName>
    <definedName name="TABEL_GAJI">Gaji!$F$16:$I$18</definedName>
    <definedName name="TABEL_KELAS">Tiket!$B$11:$D$12</definedName>
    <definedName name="TABEL_SETORAN">'Laporan Harian'!$A$19:$F$21</definedName>
    <definedName name="TABEL_TIKET">Tiket!$A$16:$E$18</definedName>
    <definedName name="TABELASURANSI" localSheetId="7">Gaji3!$G$16:$I$17</definedName>
    <definedName name="TABELASURANSI">gaji2!$G$16:$I$17</definedName>
    <definedName name="TABELGAJI" localSheetId="7">Gaji3!$A$17:$E$20</definedName>
    <definedName name="TABELGAJI">gaji2!$A$17:$E$20</definedName>
    <definedName name="Table_Gaji">Gaji!$F$15:$I$18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" i="8" l="1"/>
  <c r="J12" i="8"/>
  <c r="H12" i="8"/>
  <c r="G12" i="8"/>
  <c r="J8" i="8"/>
  <c r="J9" i="8"/>
  <c r="J10" i="8"/>
  <c r="J11" i="8"/>
  <c r="J7" i="8"/>
  <c r="I8" i="8"/>
  <c r="I9" i="8"/>
  <c r="I10" i="8"/>
  <c r="I11" i="8"/>
  <c r="I7" i="8"/>
  <c r="J16" i="8"/>
  <c r="J17" i="8"/>
  <c r="H7" i="8"/>
  <c r="H8" i="8"/>
  <c r="H9" i="8"/>
  <c r="H10" i="8"/>
  <c r="H11" i="8"/>
  <c r="H7" i="6"/>
  <c r="J15" i="8"/>
  <c r="J14" i="8"/>
  <c r="G8" i="8"/>
  <c r="G9" i="8"/>
  <c r="G10" i="8"/>
  <c r="G11" i="8"/>
  <c r="G7" i="8"/>
  <c r="F8" i="8"/>
  <c r="F9" i="8"/>
  <c r="F10" i="8"/>
  <c r="F11" i="8"/>
  <c r="F7" i="8"/>
  <c r="E8" i="8"/>
  <c r="E9" i="8"/>
  <c r="E10" i="8"/>
  <c r="E11" i="8"/>
  <c r="E7" i="8"/>
  <c r="D8" i="8"/>
  <c r="D9" i="8"/>
  <c r="D10" i="8"/>
  <c r="D11" i="8"/>
  <c r="D7" i="8"/>
  <c r="K4" i="7" l="1"/>
  <c r="J5" i="7"/>
  <c r="J6" i="7"/>
  <c r="J7" i="7"/>
  <c r="J8" i="7"/>
  <c r="J9" i="7"/>
  <c r="L9" i="7" s="1"/>
  <c r="J10" i="7"/>
  <c r="J4" i="7"/>
  <c r="K5" i="7"/>
  <c r="K6" i="7"/>
  <c r="K7" i="7"/>
  <c r="K8" i="7"/>
  <c r="K9" i="7"/>
  <c r="K10" i="7"/>
  <c r="L6" i="7"/>
  <c r="L7" i="7"/>
  <c r="I5" i="7"/>
  <c r="I6" i="7"/>
  <c r="I7" i="7"/>
  <c r="I8" i="7"/>
  <c r="I9" i="7"/>
  <c r="I10" i="7"/>
  <c r="I4" i="7"/>
  <c r="H5" i="7"/>
  <c r="H6" i="7"/>
  <c r="H7" i="7"/>
  <c r="H8" i="7"/>
  <c r="H9" i="7"/>
  <c r="H10" i="7"/>
  <c r="H4" i="7"/>
  <c r="L8" i="7"/>
  <c r="G5" i="7"/>
  <c r="G6" i="7"/>
  <c r="G7" i="7"/>
  <c r="G8" i="7"/>
  <c r="G9" i="7"/>
  <c r="G10" i="7"/>
  <c r="G4" i="7"/>
  <c r="F5" i="7"/>
  <c r="F6" i="7"/>
  <c r="F7" i="7"/>
  <c r="F8" i="7"/>
  <c r="F9" i="7"/>
  <c r="F10" i="7"/>
  <c r="F4" i="7"/>
  <c r="L10" i="7" l="1"/>
  <c r="L5" i="7"/>
  <c r="L4" i="7"/>
  <c r="L14" i="7" l="1"/>
  <c r="L13" i="7"/>
  <c r="L12" i="7"/>
  <c r="L11" i="7"/>
  <c r="E5" i="7" l="1"/>
  <c r="E6" i="7"/>
  <c r="E7" i="7"/>
  <c r="E8" i="7"/>
  <c r="E9" i="7"/>
  <c r="E10" i="7"/>
  <c r="E4" i="7"/>
  <c r="D5" i="7"/>
  <c r="D6" i="7"/>
  <c r="D7" i="7"/>
  <c r="D8" i="7"/>
  <c r="D9" i="7"/>
  <c r="D10" i="7"/>
  <c r="D4" i="7"/>
  <c r="C5" i="7"/>
  <c r="C6" i="7"/>
  <c r="C7" i="7"/>
  <c r="C8" i="7"/>
  <c r="C9" i="7"/>
  <c r="C10" i="7"/>
  <c r="C4" i="7"/>
  <c r="H12" i="6"/>
  <c r="G12" i="6"/>
  <c r="G8" i="6"/>
  <c r="H8" i="6"/>
  <c r="I8" i="6"/>
  <c r="J8" i="6" s="1"/>
  <c r="G9" i="6"/>
  <c r="H9" i="6"/>
  <c r="I9" i="6"/>
  <c r="J9" i="6" s="1"/>
  <c r="G10" i="6"/>
  <c r="H10" i="6"/>
  <c r="I10" i="6"/>
  <c r="J10" i="6" s="1"/>
  <c r="G11" i="6"/>
  <c r="H11" i="6"/>
  <c r="I11" i="6"/>
  <c r="J11" i="6" s="1"/>
  <c r="I7" i="6"/>
  <c r="I12" i="6" s="1"/>
  <c r="G7" i="6"/>
  <c r="F7" i="6"/>
  <c r="M11" i="6"/>
  <c r="N9" i="6"/>
  <c r="F8" i="6"/>
  <c r="F9" i="6"/>
  <c r="F10" i="6"/>
  <c r="F11" i="6"/>
  <c r="E9" i="6"/>
  <c r="E10" i="6"/>
  <c r="E11" i="6"/>
  <c r="E8" i="6"/>
  <c r="E7" i="6"/>
  <c r="D11" i="6"/>
  <c r="D8" i="6"/>
  <c r="D9" i="6"/>
  <c r="D10" i="6"/>
  <c r="D7" i="6"/>
  <c r="G11" i="5"/>
  <c r="G7" i="5"/>
  <c r="G8" i="5"/>
  <c r="G9" i="5"/>
  <c r="G10" i="5"/>
  <c r="G6" i="5"/>
  <c r="F7" i="5"/>
  <c r="F8" i="5"/>
  <c r="F9" i="5"/>
  <c r="F10" i="5"/>
  <c r="F6" i="5"/>
  <c r="E10" i="5"/>
  <c r="E9" i="5"/>
  <c r="E7" i="5"/>
  <c r="E6" i="5"/>
  <c r="J24" i="5"/>
  <c r="L23" i="5"/>
  <c r="K23" i="5"/>
  <c r="J21" i="5"/>
  <c r="J23" i="5"/>
  <c r="C7" i="5" a="1"/>
  <c r="C7" i="5"/>
  <c r="C8" i="5" a="1"/>
  <c r="C8" i="5" s="1"/>
  <c r="E8" i="5" s="1"/>
  <c r="C9" i="5" a="1"/>
  <c r="C9" i="5"/>
  <c r="C10" i="5" a="1"/>
  <c r="C10" i="5"/>
  <c r="C6" i="5" a="1"/>
  <c r="C6" i="5" s="1"/>
  <c r="J5" i="4"/>
  <c r="J6" i="4"/>
  <c r="J7" i="4"/>
  <c r="K7" i="4" s="1"/>
  <c r="J8" i="4"/>
  <c r="J9" i="4"/>
  <c r="K9" i="4" s="1"/>
  <c r="J10" i="4"/>
  <c r="J4" i="4"/>
  <c r="K6" i="4"/>
  <c r="K4" i="4"/>
  <c r="G5" i="4"/>
  <c r="G6" i="4"/>
  <c r="G7" i="4"/>
  <c r="G8" i="4"/>
  <c r="G9" i="4"/>
  <c r="G10" i="4"/>
  <c r="G4" i="4"/>
  <c r="K5" i="4"/>
  <c r="K8" i="4"/>
  <c r="I5" i="4"/>
  <c r="I6" i="4"/>
  <c r="I7" i="4"/>
  <c r="I8" i="4"/>
  <c r="I9" i="4"/>
  <c r="I10" i="4"/>
  <c r="I4" i="4"/>
  <c r="H5" i="4"/>
  <c r="H6" i="4"/>
  <c r="H7" i="4"/>
  <c r="H8" i="4"/>
  <c r="H9" i="4"/>
  <c r="H10" i="4"/>
  <c r="H4" i="4"/>
  <c r="F5" i="4"/>
  <c r="F6" i="4"/>
  <c r="F7" i="4"/>
  <c r="F8" i="4"/>
  <c r="F9" i="4"/>
  <c r="F10" i="4"/>
  <c r="F4" i="4"/>
  <c r="E5" i="4"/>
  <c r="E6" i="4"/>
  <c r="E7" i="4"/>
  <c r="E8" i="4"/>
  <c r="E9" i="4"/>
  <c r="E10" i="4"/>
  <c r="E4" i="4"/>
  <c r="G20" i="6" l="1"/>
  <c r="J7" i="6"/>
  <c r="J12" i="6"/>
  <c r="K10" i="4"/>
  <c r="K17" i="4"/>
  <c r="K14" i="4"/>
  <c r="J16" i="4" s="1"/>
  <c r="L15" i="3" l="1"/>
  <c r="K15" i="3"/>
  <c r="L14" i="3"/>
  <c r="K14" i="3"/>
  <c r="L13" i="3"/>
  <c r="K13" i="3"/>
  <c r="L12" i="3"/>
  <c r="K12" i="3"/>
  <c r="L6" i="3"/>
  <c r="L7" i="3"/>
  <c r="L8" i="3"/>
  <c r="L9" i="3"/>
  <c r="L10" i="3"/>
  <c r="L11" i="3"/>
  <c r="L5" i="3"/>
  <c r="K6" i="3"/>
  <c r="K7" i="3"/>
  <c r="K8" i="3"/>
  <c r="K9" i="3"/>
  <c r="K10" i="3"/>
  <c r="K11" i="3"/>
  <c r="K5" i="3"/>
  <c r="J6" i="3"/>
  <c r="J7" i="3"/>
  <c r="J8" i="3"/>
  <c r="J9" i="3"/>
  <c r="J10" i="3"/>
  <c r="J11" i="3"/>
  <c r="J5" i="3"/>
  <c r="I6" i="3"/>
  <c r="I7" i="3"/>
  <c r="I8" i="3"/>
  <c r="I9" i="3"/>
  <c r="I10" i="3"/>
  <c r="I11" i="3"/>
  <c r="I5" i="3"/>
  <c r="H5" i="3"/>
  <c r="H6" i="3"/>
  <c r="H7" i="3"/>
  <c r="H8" i="3"/>
  <c r="H9" i="3"/>
  <c r="H10" i="3"/>
  <c r="H11" i="3"/>
  <c r="G6" i="3"/>
  <c r="G7" i="3"/>
  <c r="G8" i="3"/>
  <c r="G9" i="3"/>
  <c r="G10" i="3"/>
  <c r="G11" i="3"/>
  <c r="G5" i="3"/>
  <c r="F6" i="3"/>
  <c r="F7" i="3"/>
  <c r="F8" i="3"/>
  <c r="F9" i="3"/>
  <c r="F10" i="3"/>
  <c r="F11" i="3"/>
  <c r="F5" i="3"/>
  <c r="D14" i="3"/>
  <c r="D13" i="3"/>
  <c r="D12" i="3" a="1"/>
  <c r="D12" i="3" s="1"/>
  <c r="D6" i="3"/>
  <c r="D7" i="3"/>
  <c r="D8" i="3"/>
  <c r="D9" i="3"/>
  <c r="D10" i="3"/>
  <c r="D11" i="3"/>
  <c r="D5" i="3"/>
  <c r="F2" i="1" a="1"/>
  <c r="F2" i="1" s="1"/>
  <c r="J6" i="2"/>
  <c r="J7" i="2"/>
  <c r="J8" i="2"/>
  <c r="J9" i="2"/>
  <c r="J10" i="2"/>
  <c r="J11" i="2"/>
  <c r="J5" i="2"/>
  <c r="I6" i="2"/>
  <c r="I7" i="2"/>
  <c r="I8" i="2"/>
  <c r="I9" i="2"/>
  <c r="I10" i="2"/>
  <c r="I11" i="2"/>
  <c r="I5" i="2"/>
  <c r="I12" i="2" s="1"/>
  <c r="H6" i="2"/>
  <c r="H7" i="2"/>
  <c r="H8" i="2"/>
  <c r="H9" i="2"/>
  <c r="H10" i="2"/>
  <c r="H11" i="2"/>
  <c r="H5" i="2"/>
  <c r="G6" i="2"/>
  <c r="G7" i="2"/>
  <c r="G8" i="2"/>
  <c r="G9" i="2"/>
  <c r="G10" i="2"/>
  <c r="G11" i="2"/>
  <c r="G5" i="2"/>
  <c r="F6" i="2"/>
  <c r="F7" i="2"/>
  <c r="F8" i="2"/>
  <c r="F9" i="2"/>
  <c r="F10" i="2"/>
  <c r="F11" i="2"/>
  <c r="F5" i="2"/>
  <c r="E5" i="2"/>
  <c r="E11" i="2"/>
  <c r="E6" i="2"/>
  <c r="E7" i="2"/>
  <c r="E8" i="2"/>
  <c r="E9" i="2"/>
  <c r="E10" i="2"/>
  <c r="G5" i="1"/>
  <c r="G7" i="1"/>
  <c r="F3" i="1" a="1"/>
  <c r="F3" i="1" s="1"/>
  <c r="F4" i="1" a="1"/>
  <c r="F4" i="1" s="1"/>
  <c r="G4" i="1" s="1"/>
  <c r="F5" i="1" a="1"/>
  <c r="F5" i="1" s="1"/>
  <c r="F6" i="1" a="1"/>
  <c r="F6" i="1" s="1"/>
  <c r="G6" i="1" s="1"/>
  <c r="H6" i="1" s="1"/>
  <c r="F7" i="1" a="1"/>
  <c r="F7" i="1" s="1"/>
  <c r="F8" i="1" a="1"/>
  <c r="F8" i="1" s="1"/>
  <c r="G8" i="1" s="1"/>
  <c r="H8" i="1" s="1"/>
  <c r="E3" i="1"/>
  <c r="E4" i="1"/>
  <c r="E5" i="1"/>
  <c r="E6" i="1"/>
  <c r="E7" i="1"/>
  <c r="E8" i="1"/>
  <c r="E2" i="1"/>
  <c r="D3" i="1"/>
  <c r="D4" i="1"/>
  <c r="D5" i="1"/>
  <c r="D6" i="1"/>
  <c r="D7" i="1"/>
  <c r="D8" i="1"/>
  <c r="D2" i="1"/>
  <c r="J16" i="5"/>
  <c r="K16" i="5"/>
  <c r="I16" i="5"/>
  <c r="H7" i="1" l="1"/>
  <c r="H5" i="1"/>
  <c r="G3" i="1"/>
  <c r="H3" i="1" s="1"/>
  <c r="G2" i="1"/>
  <c r="H2" i="1" s="1"/>
  <c r="H4" i="1"/>
  <c r="J1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<sst xmlns="http://schemas.openxmlformats.org/spreadsheetml/2006/main" count="485" uniqueCount="337">
  <si>
    <t>Tgl. Berangkat</t>
  </si>
  <si>
    <t>Nama Penumpang</t>
  </si>
  <si>
    <t>Kode Tiket</t>
  </si>
  <si>
    <t>Kelas</t>
  </si>
  <si>
    <t>Jenis Tiket</t>
  </si>
  <si>
    <t>Harga Tiket</t>
  </si>
  <si>
    <t>Diskon</t>
  </si>
  <si>
    <t>Harga Bersih</t>
  </si>
  <si>
    <t>ABI</t>
  </si>
  <si>
    <t>EKOD</t>
  </si>
  <si>
    <t>ACI</t>
  </si>
  <si>
    <t>EXCA</t>
  </si>
  <si>
    <t>ADI</t>
  </si>
  <si>
    <t>BISA</t>
  </si>
  <si>
    <t>AFI</t>
  </si>
  <si>
    <t>EXCD</t>
  </si>
  <si>
    <t>AGI</t>
  </si>
  <si>
    <t>EKOL</t>
  </si>
  <si>
    <t>AHI</t>
  </si>
  <si>
    <t>BISD</t>
  </si>
  <si>
    <t>ALI</t>
  </si>
  <si>
    <t>EXCL</t>
  </si>
  <si>
    <t>KELAS</t>
  </si>
  <si>
    <t>Kode Kelas</t>
  </si>
  <si>
    <t>EKO</t>
  </si>
  <si>
    <t>BIS</t>
  </si>
  <si>
    <t>EXC</t>
  </si>
  <si>
    <t>Instruksi:</t>
  </si>
  <si>
    <t>Ekonomi</t>
  </si>
  <si>
    <t>Bisnis</t>
  </si>
  <si>
    <t>Executive</t>
  </si>
  <si>
    <t>1. Kelas mengacu pada 3 huruf awal di Kode Tiket, dan mengambil data dari tabel KELAS</t>
  </si>
  <si>
    <t>JENIS TIKET</t>
  </si>
  <si>
    <t>3. Harga mengacu pada jenis tiket dan kelas yang dipilih</t>
  </si>
  <si>
    <t>4. Diskon 10% dari Harga Tiket untuk keberangkatan sebelum tanggal 1 September 2023</t>
  </si>
  <si>
    <t>A</t>
  </si>
  <si>
    <t>Anak</t>
  </si>
  <si>
    <t>5. Harga Bersih adalah Harga Tiket dikurangi Diskon</t>
  </si>
  <si>
    <t>D</t>
  </si>
  <si>
    <t>Dewasa</t>
  </si>
  <si>
    <t>L</t>
  </si>
  <si>
    <t>Lansia</t>
  </si>
  <si>
    <t>2. Jenis Tiket mengacu pada huruf ke-4 di kode tiket, dan mengambil data dari tabel JENIS TIKET</t>
  </si>
  <si>
    <t>Pajak</t>
  </si>
  <si>
    <t>Transport</t>
  </si>
  <si>
    <t>Tunjangan</t>
  </si>
  <si>
    <t>Gaji Pokok</t>
  </si>
  <si>
    <t>Gol</t>
  </si>
  <si>
    <t>Tabel Gaji</t>
  </si>
  <si>
    <t>Tabel Pajak</t>
  </si>
  <si>
    <t>J U M L A H</t>
  </si>
  <si>
    <t>AJIL</t>
  </si>
  <si>
    <t>KR007</t>
  </si>
  <si>
    <t>AHIL</t>
  </si>
  <si>
    <t>KR006</t>
  </si>
  <si>
    <t>AGIL</t>
  </si>
  <si>
    <t>KR005</t>
  </si>
  <si>
    <t>AFIL</t>
  </si>
  <si>
    <t>KR004</t>
  </si>
  <si>
    <t>ADIL</t>
  </si>
  <si>
    <t>KR003</t>
  </si>
  <si>
    <t>ACIL</t>
  </si>
  <si>
    <t>KR002</t>
  </si>
  <si>
    <t>ABIL</t>
  </si>
  <si>
    <t>KR001</t>
  </si>
  <si>
    <t>Pokok</t>
  </si>
  <si>
    <t>Gaji Bersih</t>
  </si>
  <si>
    <t>Jumlah Gaji</t>
  </si>
  <si>
    <t>Gaji</t>
  </si>
  <si>
    <t>Nama Pegawai</t>
  </si>
  <si>
    <t>NIK</t>
  </si>
  <si>
    <t>No</t>
  </si>
  <si>
    <t>DATA GAJI PEGAWAI PT. PUSAT CARA CARA</t>
  </si>
  <si>
    <t>Hitung Jumlah Penghasilan Total, Tertinggi, Terendah dan Rata-Rata</t>
  </si>
  <si>
    <t>Hitung jumlah setiap jenis angkutan yang terpakai</t>
  </si>
  <si>
    <r>
      <rPr>
        <b/>
        <sz val="11"/>
        <color theme="1"/>
        <rFont val="Calibri"/>
        <family val="2"/>
        <scheme val="minor"/>
      </rPr>
      <t>PENGHASILAN PERUSAHAAN</t>
    </r>
    <r>
      <rPr>
        <sz val="11"/>
        <color theme="1"/>
        <rFont val="Calibri"/>
        <family val="2"/>
        <charset val="1"/>
        <scheme val="minor"/>
      </rPr>
      <t xml:space="preserve"> didapat dari </t>
    </r>
    <r>
      <rPr>
        <b/>
        <sz val="11"/>
        <color theme="1"/>
        <rFont val="Calibri"/>
        <family val="2"/>
        <scheme val="minor"/>
      </rPr>
      <t>SETORAN WAJIB</t>
    </r>
    <r>
      <rPr>
        <sz val="11"/>
        <color theme="1"/>
        <rFont val="Calibri"/>
        <family val="2"/>
        <charset val="1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BONUS PERUSAHAAN</t>
    </r>
  </si>
  <si>
    <r>
      <rPr>
        <b/>
        <sz val="11"/>
        <color theme="1"/>
        <rFont val="Calibri"/>
        <family val="2"/>
        <scheme val="minor"/>
      </rPr>
      <t>PENGHASILAN SOPIR</t>
    </r>
    <r>
      <rPr>
        <sz val="11"/>
        <color theme="1"/>
        <rFont val="Calibri"/>
        <family val="2"/>
        <charset val="1"/>
        <scheme val="minor"/>
      </rPr>
      <t xml:space="preserve"> didapat dari </t>
    </r>
    <r>
      <rPr>
        <b/>
        <sz val="11"/>
        <color theme="1"/>
        <rFont val="Calibri"/>
        <family val="2"/>
        <scheme val="minor"/>
      </rPr>
      <t>UPAH SOPIR</t>
    </r>
    <r>
      <rPr>
        <sz val="11"/>
        <color theme="1"/>
        <rFont val="Calibri"/>
        <family val="2"/>
        <charset val="1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BONUS</t>
    </r>
  </si>
  <si>
    <r>
      <rPr>
        <b/>
        <sz val="11"/>
        <color theme="1"/>
        <rFont val="Calibri"/>
        <family val="2"/>
        <scheme val="minor"/>
      </rPr>
      <t>BONUS SOPIR</t>
    </r>
    <r>
      <rPr>
        <sz val="11"/>
        <color theme="1"/>
        <rFont val="Calibri"/>
        <family val="2"/>
        <charset val="1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 xml:space="preserve">BONUS PERUSAHAAN </t>
    </r>
    <r>
      <rPr>
        <sz val="11"/>
        <color theme="1"/>
        <rFont val="Calibri"/>
        <family val="2"/>
        <charset val="1"/>
        <scheme val="minor"/>
      </rPr>
      <t>diisi dengan mengacu pada kolom prosentase bonus</t>
    </r>
  </si>
  <si>
    <r>
      <t xml:space="preserve">Jika </t>
    </r>
    <r>
      <rPr>
        <b/>
        <sz val="11"/>
        <color theme="1"/>
        <rFont val="Calibri"/>
        <family val="2"/>
        <scheme val="minor"/>
      </rPr>
      <t>JUMLAH SETORAN</t>
    </r>
    <r>
      <rPr>
        <sz val="11"/>
        <color theme="1"/>
        <rFont val="Calibri"/>
        <family val="2"/>
        <charset val="1"/>
        <scheme val="minor"/>
      </rPr>
      <t xml:space="preserve"> dikurangi (</t>
    </r>
    <r>
      <rPr>
        <b/>
        <sz val="11"/>
        <color theme="1"/>
        <rFont val="Calibri"/>
        <family val="2"/>
        <scheme val="minor"/>
      </rPr>
      <t>SETORAN WAJIB</t>
    </r>
    <r>
      <rPr>
        <sz val="11"/>
        <color theme="1"/>
        <rFont val="Calibri"/>
        <family val="2"/>
        <charset val="1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UPAH SOPIR</t>
    </r>
    <r>
      <rPr>
        <sz val="11"/>
        <color theme="1"/>
        <rFont val="Calibri"/>
        <family val="2"/>
        <charset val="1"/>
        <scheme val="minor"/>
      </rPr>
      <t>) ternyata ada sisanya, maka tampilkan nilai sisanya</t>
    </r>
    <r>
      <rPr>
        <sz val="11"/>
        <color theme="1"/>
        <rFont val="Calibri"/>
        <family val="2"/>
        <scheme val="minor"/>
      </rPr>
      <t xml:space="preserve"> pada kolom KELEBIHAN</t>
    </r>
  </si>
  <si>
    <r>
      <rPr>
        <b/>
        <sz val="11"/>
        <color theme="1"/>
        <rFont val="Calibri"/>
        <family val="2"/>
        <scheme val="minor"/>
      </rPr>
      <t>JENIS ANGKUTAN, SETORAN WAJIB</t>
    </r>
    <r>
      <rPr>
        <sz val="11"/>
        <color theme="1"/>
        <rFont val="Calibri"/>
        <family val="2"/>
        <charset val="1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UPAH SOPIR</t>
    </r>
    <r>
      <rPr>
        <sz val="11"/>
        <color theme="1"/>
        <rFont val="Calibri"/>
        <family val="2"/>
        <charset val="1"/>
        <scheme val="minor"/>
      </rPr>
      <t xml:space="preserve"> ditentukan berdasarkan 2 digit awal kolom </t>
    </r>
    <r>
      <rPr>
        <b/>
        <sz val="11"/>
        <color theme="1"/>
        <rFont val="Calibri"/>
        <family val="2"/>
        <scheme val="minor"/>
      </rPr>
      <t>KODE</t>
    </r>
    <r>
      <rPr>
        <sz val="11"/>
        <color theme="1"/>
        <rFont val="Calibri"/>
        <family val="2"/>
        <charset val="1"/>
        <scheme val="minor"/>
      </rPr>
      <t xml:space="preserve">, dan mengacu pada </t>
    </r>
    <r>
      <rPr>
        <b/>
        <sz val="11"/>
        <color theme="1"/>
        <rFont val="Calibri"/>
        <family val="2"/>
        <scheme val="minor"/>
      </rPr>
      <t>Tabel Setoran &amp; Upah</t>
    </r>
  </si>
  <si>
    <t>INSTRUKSI:</t>
  </si>
  <si>
    <t>Angkot</t>
  </si>
  <si>
    <t>AN</t>
  </si>
  <si>
    <t>Elf</t>
  </si>
  <si>
    <t>EL</t>
  </si>
  <si>
    <t>Bus</t>
  </si>
  <si>
    <t>BS</t>
  </si>
  <si>
    <t>PERUSAHAAN</t>
  </si>
  <si>
    <t>SOPIR</t>
  </si>
  <si>
    <t>BONUS</t>
  </si>
  <si>
    <t>UPAH SOPIR</t>
  </si>
  <si>
    <t>SETORAN WAJIB</t>
  </si>
  <si>
    <t>JENIS ANGKUTAN</t>
  </si>
  <si>
    <t>KODE</t>
  </si>
  <si>
    <t>Tabel Setoran &amp; Upah</t>
  </si>
  <si>
    <t>Rata-Rata Penghasilan</t>
  </si>
  <si>
    <t>Penghasilan Terendah</t>
  </si>
  <si>
    <t>Jumlah Angkot Terpakai</t>
  </si>
  <si>
    <t>Penghasilan Tertinggi</t>
  </si>
  <si>
    <t>Jumlah Elf Terpakai</t>
  </si>
  <si>
    <t>Jumlah Penghasilan</t>
  </si>
  <si>
    <t>Jumlah Bus Terpakai</t>
  </si>
  <si>
    <t>BS07</t>
  </si>
  <si>
    <t>BS06</t>
  </si>
  <si>
    <t>AN05</t>
  </si>
  <si>
    <t>EL04</t>
  </si>
  <si>
    <t>EL03</t>
  </si>
  <si>
    <t>AN02</t>
  </si>
  <si>
    <t>BS01</t>
  </si>
  <si>
    <t>PENGHASILAN</t>
  </si>
  <si>
    <t>KELEBIHAN</t>
  </si>
  <si>
    <t>JUMLAH SETORAN</t>
  </si>
  <si>
    <t>NAMA SOPIR</t>
  </si>
  <si>
    <t>NO</t>
  </si>
  <si>
    <t>LAPORAN PENERIMAAN HARIAN</t>
  </si>
  <si>
    <r>
      <rPr>
        <b/>
        <sz val="11"/>
        <color theme="1"/>
        <rFont val="Calibri"/>
        <family val="2"/>
        <scheme val="minor"/>
      </rPr>
      <t>HARGA TOTAL</t>
    </r>
    <r>
      <rPr>
        <sz val="11"/>
        <color theme="1"/>
        <rFont val="Calibri"/>
        <family val="2"/>
        <charset val="1"/>
        <scheme val="minor"/>
      </rPr>
      <t xml:space="preserve"> diperoleh dari </t>
    </r>
    <r>
      <rPr>
        <b/>
        <sz val="11"/>
        <color theme="1"/>
        <rFont val="Calibri"/>
        <family val="2"/>
        <scheme val="minor"/>
      </rPr>
      <t>HARGA TIKET + HARGA PAKET MENU - DISKON</t>
    </r>
  </si>
  <si>
    <r>
      <rPr>
        <b/>
        <sz val="11"/>
        <color theme="1"/>
        <rFont val="Calibri"/>
        <family val="2"/>
        <scheme val="minor"/>
      </rPr>
      <t xml:space="preserve">DISKON </t>
    </r>
    <r>
      <rPr>
        <sz val="11"/>
        <color theme="1"/>
        <rFont val="Calibri"/>
        <family val="2"/>
        <charset val="1"/>
        <scheme val="minor"/>
      </rPr>
      <t>hanya berlaku untuk tiket dengan keberangkatan sebelum tanggal 1 September 2023</t>
    </r>
  </si>
  <si>
    <r>
      <rPr>
        <b/>
        <sz val="11"/>
        <color theme="1"/>
        <rFont val="Calibri"/>
        <family val="2"/>
        <scheme val="minor"/>
      </rPr>
      <t xml:space="preserve">MENU PAKET </t>
    </r>
    <r>
      <rPr>
        <sz val="11"/>
        <color theme="1"/>
        <rFont val="Calibri"/>
        <family val="2"/>
        <charset val="1"/>
        <scheme val="minor"/>
      </rPr>
      <t xml:space="preserve">dan </t>
    </r>
    <r>
      <rPr>
        <b/>
        <sz val="11"/>
        <color theme="1"/>
        <rFont val="Calibri"/>
        <family val="2"/>
        <scheme val="minor"/>
      </rPr>
      <t xml:space="preserve">HARGA PAKET </t>
    </r>
    <r>
      <rPr>
        <sz val="11"/>
        <color theme="1"/>
        <rFont val="Calibri"/>
        <family val="2"/>
        <charset val="1"/>
        <scheme val="minor"/>
      </rPr>
      <t xml:space="preserve">diambil dari digit ke 3 &amp; 4 pada </t>
    </r>
    <r>
      <rPr>
        <b/>
        <sz val="11"/>
        <color theme="1"/>
        <rFont val="Calibri"/>
        <family val="2"/>
        <scheme val="minor"/>
      </rPr>
      <t>KODE TIKET</t>
    </r>
    <r>
      <rPr>
        <sz val="11"/>
        <color theme="1"/>
        <rFont val="Calibri"/>
        <family val="2"/>
        <charset val="1"/>
        <scheme val="minor"/>
      </rPr>
      <t xml:space="preserve">, dengan mengacu pada </t>
    </r>
    <r>
      <rPr>
        <b/>
        <sz val="11"/>
        <color theme="1"/>
        <rFont val="Calibri"/>
        <family val="2"/>
        <scheme val="minor"/>
      </rPr>
      <t>TABEL MENU</t>
    </r>
  </si>
  <si>
    <r>
      <rPr>
        <b/>
        <sz val="11"/>
        <color theme="1"/>
        <rFont val="Calibri"/>
        <family val="2"/>
        <scheme val="minor"/>
      </rPr>
      <t>HARGA TIKET</t>
    </r>
    <r>
      <rPr>
        <sz val="11"/>
        <color theme="1"/>
        <rFont val="Calibri"/>
        <family val="2"/>
        <charset val="1"/>
        <scheme val="minor"/>
      </rPr>
      <t xml:space="preserve"> diambil dari 2 digit awal dan digit ke 5 &amp; 6 pada </t>
    </r>
    <r>
      <rPr>
        <b/>
        <sz val="11"/>
        <color theme="1"/>
        <rFont val="Calibri"/>
        <family val="2"/>
        <scheme val="minor"/>
      </rPr>
      <t>KODE TIKET</t>
    </r>
    <r>
      <rPr>
        <sz val="11"/>
        <color theme="1"/>
        <rFont val="Calibri"/>
        <family val="2"/>
        <charset val="1"/>
        <scheme val="minor"/>
      </rPr>
      <t xml:space="preserve">, dengan mengacu pada </t>
    </r>
    <r>
      <rPr>
        <b/>
        <sz val="11"/>
        <color theme="1"/>
        <rFont val="Calibri"/>
        <family val="2"/>
        <scheme val="minor"/>
      </rPr>
      <t xml:space="preserve">TABEL TARIF </t>
    </r>
    <r>
      <rPr>
        <sz val="11"/>
        <color theme="1"/>
        <rFont val="Calibri"/>
        <family val="2"/>
        <charset val="1"/>
        <scheme val="minor"/>
      </rPr>
      <t xml:space="preserve">dan </t>
    </r>
    <r>
      <rPr>
        <b/>
        <sz val="11"/>
        <color theme="1"/>
        <rFont val="Calibri"/>
        <family val="2"/>
        <scheme val="minor"/>
      </rPr>
      <t>TABEL KELAS</t>
    </r>
  </si>
  <si>
    <r>
      <rPr>
        <b/>
        <sz val="11"/>
        <color theme="1"/>
        <rFont val="Calibri"/>
        <family val="2"/>
        <scheme val="minor"/>
      </rPr>
      <t>KELAS</t>
    </r>
    <r>
      <rPr>
        <sz val="11"/>
        <color theme="1"/>
        <rFont val="Calibri"/>
        <family val="2"/>
        <charset val="1"/>
        <scheme val="minor"/>
      </rPr>
      <t xml:space="preserve"> diambil dari digit ke 5 &amp; 6 pada </t>
    </r>
    <r>
      <rPr>
        <b/>
        <sz val="11"/>
        <color theme="1"/>
        <rFont val="Calibri"/>
        <family val="2"/>
        <scheme val="minor"/>
      </rPr>
      <t>KODE TIKET</t>
    </r>
    <r>
      <rPr>
        <sz val="11"/>
        <color theme="1"/>
        <rFont val="Calibri"/>
        <family val="2"/>
        <charset val="1"/>
        <scheme val="minor"/>
      </rPr>
      <t xml:space="preserve">, dengan mengacu pada </t>
    </r>
    <r>
      <rPr>
        <b/>
        <sz val="11"/>
        <color theme="1"/>
        <rFont val="Calibri"/>
        <family val="2"/>
        <scheme val="minor"/>
      </rPr>
      <t>TABEL KELAS</t>
    </r>
  </si>
  <si>
    <r>
      <rPr>
        <b/>
        <sz val="11"/>
        <color theme="1"/>
        <rFont val="Calibri"/>
        <family val="2"/>
        <scheme val="minor"/>
      </rPr>
      <t>RUTE</t>
    </r>
    <r>
      <rPr>
        <sz val="11"/>
        <color theme="1"/>
        <rFont val="Calibri"/>
        <family val="2"/>
        <charset val="1"/>
        <scheme val="minor"/>
      </rPr>
      <t xml:space="preserve"> diambil dari 2 digit awal </t>
    </r>
    <r>
      <rPr>
        <b/>
        <sz val="11"/>
        <color theme="1"/>
        <rFont val="Calibri"/>
        <family val="2"/>
        <scheme val="minor"/>
      </rPr>
      <t>KODE TIKET</t>
    </r>
    <r>
      <rPr>
        <sz val="11"/>
        <color theme="1"/>
        <rFont val="Calibri"/>
        <family val="2"/>
        <charset val="1"/>
        <scheme val="minor"/>
      </rPr>
      <t xml:space="preserve">, dengan mengacu pada </t>
    </r>
    <r>
      <rPr>
        <b/>
        <sz val="11"/>
        <color theme="1"/>
        <rFont val="Calibri"/>
        <family val="2"/>
        <scheme val="minor"/>
      </rPr>
      <t>TABEL TARIF</t>
    </r>
  </si>
  <si>
    <t>INSTRUKSI</t>
  </si>
  <si>
    <t>Harga</t>
  </si>
  <si>
    <t>Paket HORE</t>
  </si>
  <si>
    <t>Paket YES</t>
  </si>
  <si>
    <t>Paket OK</t>
  </si>
  <si>
    <t>Menu</t>
  </si>
  <si>
    <t>P3</t>
  </si>
  <si>
    <t>P2</t>
  </si>
  <si>
    <t>P1</t>
  </si>
  <si>
    <t>Kode</t>
  </si>
  <si>
    <t>TABEL MENU</t>
  </si>
  <si>
    <t>Jakarta - Medan</t>
  </si>
  <si>
    <t>DD</t>
  </si>
  <si>
    <t>Jakarta - Bandung</t>
  </si>
  <si>
    <t>CC</t>
  </si>
  <si>
    <t>Eksekutif</t>
  </si>
  <si>
    <t>EX</t>
  </si>
  <si>
    <t>Jakarta - Yogyakarta</t>
  </si>
  <si>
    <t>BB</t>
  </si>
  <si>
    <t>BI</t>
  </si>
  <si>
    <t>Jakarta - Surabaya</t>
  </si>
  <si>
    <t>AA</t>
  </si>
  <si>
    <t>EC</t>
  </si>
  <si>
    <t>DISKON</t>
  </si>
  <si>
    <t>Rute</t>
  </si>
  <si>
    <t>TABEL KELAS</t>
  </si>
  <si>
    <t>TABEL TARIF</t>
  </si>
  <si>
    <t>Mamen</t>
  </si>
  <si>
    <t>AAP2BI-007</t>
  </si>
  <si>
    <t>Mamin</t>
  </si>
  <si>
    <t>CCP3EC-006</t>
  </si>
  <si>
    <t>Mumun</t>
  </si>
  <si>
    <t>BBP2BI-005</t>
  </si>
  <si>
    <t>Momon</t>
  </si>
  <si>
    <t>AAP3EC-004</t>
  </si>
  <si>
    <t>Mimin</t>
  </si>
  <si>
    <t>CCP1BI-003</t>
  </si>
  <si>
    <t>Memen</t>
  </si>
  <si>
    <t>AAP2EX-002</t>
  </si>
  <si>
    <t>Maman</t>
  </si>
  <si>
    <t>BBP1EX-001</t>
  </si>
  <si>
    <t>HARGA TOTAL</t>
  </si>
  <si>
    <t>HARGA PAKET MENU</t>
  </si>
  <si>
    <t>MENU PAKET</t>
  </si>
  <si>
    <t>HARGA TIKET</t>
  </si>
  <si>
    <t>RUTE</t>
  </si>
  <si>
    <t>TGL BERANGKAT</t>
  </si>
  <si>
    <t>NAMA PENUMPANG</t>
  </si>
  <si>
    <t>KODE TIKET</t>
  </si>
  <si>
    <t>DATA PEMBELIAN TIKET PESAWAT "BUMI AIR"</t>
  </si>
  <si>
    <t>JUMLAH BAYAR adalah HARGA AWAL dikurangi DISKON</t>
  </si>
  <si>
    <t>DISKON berlaku hanya untuk mobil jenis SEDAN atau MINIBUS dengan lama peminjaman 3 hari atau lebih</t>
  </si>
  <si>
    <t>HARGA AWAL diperoleh dari perkalian TARIF PINJAM dengan LAMA PINJAM</t>
  </si>
  <si>
    <t xml:space="preserve">TARIF PINJAM diperoleh dari Huruf ke-1 dan Ke-2 KODE PINJAM, dengan mengacu pada TABEL TARIF </t>
  </si>
  <si>
    <t>PETUNJUK:</t>
  </si>
  <si>
    <t>M</t>
  </si>
  <si>
    <t>S</t>
  </si>
  <si>
    <t>TABEL DISKON</t>
  </si>
  <si>
    <t>IMRON</t>
  </si>
  <si>
    <t>BC-890</t>
  </si>
  <si>
    <t>IMRAN</t>
  </si>
  <si>
    <t>MC-678</t>
  </si>
  <si>
    <t>C</t>
  </si>
  <si>
    <t>AMRIN</t>
  </si>
  <si>
    <t>SB-456</t>
  </si>
  <si>
    <t>B</t>
  </si>
  <si>
    <t>AMREN</t>
  </si>
  <si>
    <t>MB-345</t>
  </si>
  <si>
    <t>AMRAN</t>
  </si>
  <si>
    <t>SA-234</t>
  </si>
  <si>
    <t>Bak Terbuka (B)</t>
  </si>
  <si>
    <t>Minibus (M)</t>
  </si>
  <si>
    <t>Sedan (S)</t>
  </si>
  <si>
    <t>Jenis Mobil</t>
  </si>
  <si>
    <t>Tipe</t>
  </si>
  <si>
    <t>JUMLAH BAYAR</t>
  </si>
  <si>
    <t>HARGA AWAL</t>
  </si>
  <si>
    <t>LAMA PINJAM</t>
  </si>
  <si>
    <t>TARIF PINJAM</t>
  </si>
  <si>
    <t>NAMA PEMINJAM</t>
  </si>
  <si>
    <t>KODE PINJAM</t>
  </si>
  <si>
    <t>LAPORAN PEMINJAMAN</t>
  </si>
  <si>
    <t>RENTAL MOBIL "PCC"</t>
  </si>
  <si>
    <t>CHOOSE</t>
  </si>
  <si>
    <t>Diisi dengan jumlah nilai dari atas sampai bawah pada setiap kolom</t>
  </si>
  <si>
    <t>JUMLAH</t>
  </si>
  <si>
    <t>Diisi dengan penjumlahan dari GAJI POKOK ditambah TUNJANGAN dikurangi POTONGAN</t>
  </si>
  <si>
    <t>GAJI BERSIH</t>
  </si>
  <si>
    <t>Diisi dengan mengambil referensi dari tabel potongan asuransi, berdasarkan kode KELAS pada ID KARYAWAN</t>
  </si>
  <si>
    <t>POTONGAN</t>
  </si>
  <si>
    <t>Diisi dengan mengambil referensi dari tabel gaji, berdasarkan kode JABATAN dan kode STATUS pada ID KARYAWAN</t>
  </si>
  <si>
    <t>TUNJANGAN</t>
  </si>
  <si>
    <t>Diisi dengan mengambil referensi dari tabel gaji, berdasarkan kode JABATAN pada ID KARYAWAN</t>
  </si>
  <si>
    <t>GAJI POKOK</t>
  </si>
  <si>
    <t>Diisi dengan mengambil 4 karakter setelah "." pada ID KARYAWAN</t>
  </si>
  <si>
    <t>TAHUN MASUK</t>
  </si>
  <si>
    <t>Diisi dengan "Kawin" atau "Belum Kawin" berdasarkan kode STATUS (karakter ke-4) pada ID KARYAWAN</t>
  </si>
  <si>
    <t>STATUS</t>
  </si>
  <si>
    <t>Diisi dengan mengambil referensi pada tabel gaji berdasarkan kode JABATAN pada ID KARYAWAN</t>
  </si>
  <si>
    <t>JABATAN</t>
  </si>
  <si>
    <t>Direktur</t>
  </si>
  <si>
    <t>DR</t>
  </si>
  <si>
    <t>Manajemen</t>
  </si>
  <si>
    <t>MJ</t>
  </si>
  <si>
    <t>Administrasi</t>
  </si>
  <si>
    <t>AD</t>
  </si>
  <si>
    <t>Teknisi</t>
  </si>
  <si>
    <t>TK</t>
  </si>
  <si>
    <t>3</t>
  </si>
  <si>
    <t>2</t>
  </si>
  <si>
    <t>1</t>
  </si>
  <si>
    <t>BELUM (B)</t>
  </si>
  <si>
    <t>KAWIN (K)</t>
  </si>
  <si>
    <t>TARIF PER KELAS</t>
  </si>
  <si>
    <t>II. TABEL POTONGAN ASURANSI</t>
  </si>
  <si>
    <t>I. TABEL GAJI &amp; TUNJANGAN</t>
  </si>
  <si>
    <t>AD-K2.1999312</t>
  </si>
  <si>
    <t>Elsa Kamila</t>
  </si>
  <si>
    <t>TK-B3.2000205</t>
  </si>
  <si>
    <t>Denny Damia</t>
  </si>
  <si>
    <t>MJ-K1.1997021</t>
  </si>
  <si>
    <t>Cindy Damayanthy</t>
  </si>
  <si>
    <t>TK-K2.2002003</t>
  </si>
  <si>
    <t>Budhi Setyo</t>
  </si>
  <si>
    <t>DR-K1.1995012</t>
  </si>
  <si>
    <t>Alafia Lanny</t>
  </si>
  <si>
    <t>ID KARYAWAN</t>
  </si>
  <si>
    <t>NAMA</t>
  </si>
  <si>
    <t xml:space="preserve">NO </t>
  </si>
  <si>
    <t>OKTOBER 2022</t>
  </si>
  <si>
    <t>PT. PUSAT CARA CARA</t>
  </si>
  <si>
    <t>DAFTAR GAJI KARYAWAN</t>
  </si>
  <si>
    <t>Match</t>
  </si>
  <si>
    <t>Jumlah Biaya Bongkar ditambah Biaya Muat</t>
  </si>
  <si>
    <t>Jml. Biaya</t>
  </si>
  <si>
    <t>Diambil dari digit ke 7 &amp; 8 di Kode Kapal, mengacu pada Tabel Bongkar Muat</t>
  </si>
  <si>
    <t>Biaya Muat</t>
  </si>
  <si>
    <t>Diambil dari digit ke 5 &amp; 6 di Kode Kapal, mengacu pada Tabel Bongkar Muat</t>
  </si>
  <si>
    <t>Biaya Bongkar</t>
  </si>
  <si>
    <t>Muat</t>
  </si>
  <si>
    <t>Bongkar</t>
  </si>
  <si>
    <t>Diambil dari 4 digit terakhir di Kode Kapal, mengacu pada Tabel Rute</t>
  </si>
  <si>
    <t>Tujuan</t>
  </si>
  <si>
    <t>Berangkat Dari</t>
  </si>
  <si>
    <t>Diambil dari digit ke-3 di Kode Kapal, mengacu pada Tabel Posisi</t>
  </si>
  <si>
    <t>Nama Agen</t>
  </si>
  <si>
    <t>Posisi Kapal</t>
  </si>
  <si>
    <t>Diambil dari 2 digit pertama di Kode Kapal, mengacu pada Tabel Kapal</t>
  </si>
  <si>
    <t>Nama Kapal</t>
  </si>
  <si>
    <t>Nikel</t>
  </si>
  <si>
    <t>NK</t>
  </si>
  <si>
    <t>Beras</t>
  </si>
  <si>
    <t>BR</t>
  </si>
  <si>
    <t>Era Baru</t>
  </si>
  <si>
    <t>EB</t>
  </si>
  <si>
    <t>Semen</t>
  </si>
  <si>
    <t>SM</t>
  </si>
  <si>
    <t>Biru Langit</t>
  </si>
  <si>
    <t>BL</t>
  </si>
  <si>
    <t>Pupuk</t>
  </si>
  <si>
    <t>PP</t>
  </si>
  <si>
    <t>Sabda Alam</t>
  </si>
  <si>
    <t>SA</t>
  </si>
  <si>
    <t>Mobil</t>
  </si>
  <si>
    <t>MB</t>
  </si>
  <si>
    <t>Arimbi</t>
  </si>
  <si>
    <t>Pelabuhan 4</t>
  </si>
  <si>
    <t>4</t>
  </si>
  <si>
    <t>Raja Samudera</t>
  </si>
  <si>
    <t>RS</t>
  </si>
  <si>
    <t>CPO</t>
  </si>
  <si>
    <t>CO</t>
  </si>
  <si>
    <t>Ferdianto</t>
  </si>
  <si>
    <t>Pelabuhan 3</t>
  </si>
  <si>
    <t>Tanjung Karang</t>
  </si>
  <si>
    <t>Pasir Kuarsa</t>
  </si>
  <si>
    <t>PK</t>
  </si>
  <si>
    <t>Ardhana</t>
  </si>
  <si>
    <t>Pelabuhan 2</t>
  </si>
  <si>
    <t>Pesona Bahari</t>
  </si>
  <si>
    <t>PB</t>
  </si>
  <si>
    <t>Batubara</t>
  </si>
  <si>
    <t>Randhika</t>
  </si>
  <si>
    <t>Pelabuhan 1</t>
  </si>
  <si>
    <t>Nyiur Hijau</t>
  </si>
  <si>
    <t>NH</t>
  </si>
  <si>
    <t>Muatan</t>
  </si>
  <si>
    <t>TABEL BONGKAR MUAT</t>
  </si>
  <si>
    <t>TABEL POSISI</t>
  </si>
  <si>
    <t>TABEL KAPAL</t>
  </si>
  <si>
    <t>Singapura</t>
  </si>
  <si>
    <t>Padang</t>
  </si>
  <si>
    <t>Surabaya</t>
  </si>
  <si>
    <t>Pekanbaru</t>
  </si>
  <si>
    <t>Rata-rata biaya bongkar dan muat</t>
  </si>
  <si>
    <t>Medan</t>
  </si>
  <si>
    <t>Jakarta</t>
  </si>
  <si>
    <t>Belawan</t>
  </si>
  <si>
    <t>Berangkat</t>
  </si>
  <si>
    <t>Biaya bongkar &amp; muat terkecil</t>
  </si>
  <si>
    <t>SUSI</t>
  </si>
  <si>
    <t>MEPA</t>
  </si>
  <si>
    <t>JASU</t>
  </si>
  <si>
    <t>BEPE</t>
  </si>
  <si>
    <t>Biaya bongkar &amp; muat terbesar</t>
  </si>
  <si>
    <t>TABEL RUTE</t>
  </si>
  <si>
    <t>Jumlah biaya Bongkar &amp; muat</t>
  </si>
  <si>
    <t>RS4-PPBR-SUSI</t>
  </si>
  <si>
    <t>EB2-PPSM-MEPA</t>
  </si>
  <si>
    <t>SA3-NKBB-BEPE</t>
  </si>
  <si>
    <t>BL1-SMCO-JASU</t>
  </si>
  <si>
    <t>NH2-BRMB-MEPA</t>
  </si>
  <si>
    <t>TK3-BRPP-SUSI</t>
  </si>
  <si>
    <t>PB1-BBPK-JASU</t>
  </si>
  <si>
    <t>Kode Kapal</t>
  </si>
  <si>
    <t>POSISI KAPAL DI PELABUHAN "ABCD"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</si>
</sst>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,##0_ ;\-#,##0\ "/>
    <numFmt numFmtId="167" formatCode="_-&quot;Rp&quot;* #,##0_-;\-&quot;Rp&quot;* #,##0_-;_-&quot;Rp&quot;* &quot;-&quot;??_-;_-@_-"/>
    <numFmt numFmtId="168" formatCode="@\ * &quot;:&quot;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charset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0" borderId="0"/>
  </cellStyleXfs>
  <cellXfs count="163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/>
    <xf numFmtId="164" fontId="0" fillId="0" borderId="1" xfId="1" applyNumberFormat="1" applyFont="1" applyBorder="1"/>
    <xf numFmtId="164" fontId="5" fillId="0" borderId="1" xfId="1" applyNumberFormat="1" applyFont="1" applyBorder="1"/>
    <xf numFmtId="0" fontId="6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0" fillId="0" borderId="1" xfId="1" applyNumberFormat="1" applyFont="1" applyBorder="1"/>
    <xf numFmtId="0" fontId="5" fillId="2" borderId="1" xfId="0" applyFont="1" applyFill="1" applyBorder="1" applyAlignment="1">
      <alignment horizontal="center" vertical="center"/>
    </xf>
    <xf numFmtId="3" fontId="5" fillId="0" borderId="1" xfId="0" applyNumberFormat="1" applyFont="1" applyBorder="1"/>
    <xf numFmtId="0" fontId="5" fillId="0" borderId="1" xfId="0" applyFont="1" applyBorder="1"/>
    <xf numFmtId="3" fontId="0" fillId="0" borderId="13" xfId="0" applyNumberFormat="1" applyBorder="1" applyAlignment="1">
      <alignment horizontal="right"/>
    </xf>
    <xf numFmtId="3" fontId="0" fillId="0" borderId="13" xfId="0" applyNumberFormat="1" applyBorder="1" applyAlignment="1">
      <alignment horizontal="right" indent="1"/>
    </xf>
    <xf numFmtId="3" fontId="0" fillId="0" borderId="11" xfId="0" applyNumberFormat="1" applyBorder="1" applyAlignment="1">
      <alignment horizontal="right"/>
    </xf>
    <xf numFmtId="3" fontId="0" fillId="0" borderId="11" xfId="0" applyNumberFormat="1" applyBorder="1" applyAlignment="1">
      <alignment horizontal="right" indent="1"/>
    </xf>
    <xf numFmtId="3" fontId="0" fillId="0" borderId="1" xfId="0" applyNumberFormat="1" applyBorder="1"/>
    <xf numFmtId="0" fontId="0" fillId="0" borderId="11" xfId="0" applyBorder="1" applyAlignment="1">
      <alignment horizontal="left" indent="1"/>
    </xf>
    <xf numFmtId="3" fontId="0" fillId="0" borderId="11" xfId="0" applyNumberFormat="1" applyBorder="1"/>
    <xf numFmtId="0" fontId="0" fillId="0" borderId="11" xfId="0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166" fontId="0" fillId="0" borderId="1" xfId="1" applyNumberFormat="1" applyFont="1" applyBorder="1"/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11" xfId="0" applyBorder="1"/>
    <xf numFmtId="14" fontId="0" fillId="0" borderId="11" xfId="0" applyNumberFormat="1" applyBorder="1" applyAlignment="1">
      <alignment horizontal="center"/>
    </xf>
    <xf numFmtId="0" fontId="5" fillId="2" borderId="14" xfId="0" applyFont="1" applyFill="1" applyBorder="1" applyAlignment="1">
      <alignment horizontal="center" vertical="center" wrapText="1"/>
    </xf>
    <xf numFmtId="0" fontId="11" fillId="0" borderId="0" xfId="3" applyFont="1"/>
    <xf numFmtId="0" fontId="12" fillId="0" borderId="0" xfId="3" applyFont="1"/>
    <xf numFmtId="167" fontId="11" fillId="0" borderId="0" xfId="3" applyNumberFormat="1" applyFont="1" applyAlignment="1">
      <alignment horizontal="center"/>
    </xf>
    <xf numFmtId="0" fontId="11" fillId="0" borderId="0" xfId="3" quotePrefix="1" applyFont="1" applyAlignment="1">
      <alignment horizontal="center"/>
    </xf>
    <xf numFmtId="9" fontId="11" fillId="0" borderId="1" xfId="3" applyNumberFormat="1" applyFont="1" applyBorder="1" applyAlignment="1">
      <alignment horizontal="center"/>
    </xf>
    <xf numFmtId="0" fontId="12" fillId="0" borderId="1" xfId="3" applyFont="1" applyBorder="1" applyAlignment="1">
      <alignment horizontal="center"/>
    </xf>
    <xf numFmtId="0" fontId="13" fillId="0" borderId="0" xfId="3" applyFont="1"/>
    <xf numFmtId="0" fontId="11" fillId="0" borderId="1" xfId="3" applyFont="1" applyBorder="1" applyAlignment="1">
      <alignment horizontal="center"/>
    </xf>
    <xf numFmtId="0" fontId="13" fillId="0" borderId="0" xfId="3" applyFont="1" applyAlignment="1">
      <alignment horizontal="left" vertical="center"/>
    </xf>
    <xf numFmtId="167" fontId="11" fillId="0" borderId="11" xfId="3" applyNumberFormat="1" applyFont="1" applyBorder="1" applyAlignment="1">
      <alignment horizontal="center"/>
    </xf>
    <xf numFmtId="167" fontId="11" fillId="0" borderId="11" xfId="3" applyNumberFormat="1" applyFont="1" applyBorder="1" applyAlignment="1">
      <alignment horizontal="left"/>
    </xf>
    <xf numFmtId="0" fontId="11" fillId="0" borderId="1" xfId="3" applyFont="1" applyBorder="1" applyAlignment="1">
      <alignment horizontal="left"/>
    </xf>
    <xf numFmtId="0" fontId="11" fillId="0" borderId="2" xfId="3" applyFont="1" applyBorder="1" applyAlignment="1">
      <alignment horizontal="center"/>
    </xf>
    <xf numFmtId="167" fontId="11" fillId="0" borderId="1" xfId="3" applyNumberFormat="1" applyFont="1" applyBorder="1" applyAlignment="1">
      <alignment horizontal="center"/>
    </xf>
    <xf numFmtId="0" fontId="11" fillId="0" borderId="1" xfId="3" quotePrefix="1" applyFont="1" applyBorder="1" applyAlignment="1">
      <alignment horizontal="center"/>
    </xf>
    <xf numFmtId="0" fontId="11" fillId="0" borderId="11" xfId="3" applyFont="1" applyBorder="1" applyAlignment="1">
      <alignment horizontal="center"/>
    </xf>
    <xf numFmtId="0" fontId="11" fillId="0" borderId="11" xfId="3" applyFont="1" applyBorder="1" applyAlignment="1">
      <alignment horizontal="left"/>
    </xf>
    <xf numFmtId="0" fontId="11" fillId="0" borderId="0" xfId="3" applyFont="1" applyAlignment="1">
      <alignment horizontal="center"/>
    </xf>
    <xf numFmtId="44" fontId="11" fillId="0" borderId="11" xfId="2" applyNumberFormat="1" applyFont="1" applyBorder="1" applyAlignment="1">
      <alignment horizontal="left"/>
    </xf>
    <xf numFmtId="3" fontId="0" fillId="0" borderId="11" xfId="2" applyNumberFormat="1" applyFont="1" applyBorder="1" applyAlignment="1">
      <alignment horizontal="right"/>
    </xf>
    <xf numFmtId="0" fontId="5" fillId="2" borderId="14" xfId="0" applyFont="1" applyFill="1" applyBorder="1" applyAlignment="1">
      <alignment horizontal="center" vertical="center"/>
    </xf>
    <xf numFmtId="3" fontId="0" fillId="0" borderId="0" xfId="0" applyNumberFormat="1"/>
    <xf numFmtId="3" fontId="0" fillId="0" borderId="11" xfId="2" applyNumberFormat="1" applyFont="1" applyBorder="1"/>
    <xf numFmtId="167" fontId="11" fillId="0" borderId="11" xfId="2" applyNumberFormat="1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168" fontId="5" fillId="0" borderId="20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168" fontId="5" fillId="0" borderId="22" xfId="0" applyNumberFormat="1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168" fontId="5" fillId="0" borderId="25" xfId="0" applyNumberFormat="1" applyFont="1" applyBorder="1" applyAlignment="1">
      <alignment vertical="center"/>
    </xf>
    <xf numFmtId="42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42" fontId="0" fillId="0" borderId="11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49" fontId="5" fillId="3" borderId="11" xfId="0" quotePrefix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2" fontId="5" fillId="4" borderId="11" xfId="0" applyNumberFormat="1" applyFont="1" applyFill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42" fontId="0" fillId="0" borderId="1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0" xfId="0" applyNumberFormat="1" applyAlignment="1">
      <alignment vertical="center"/>
    </xf>
    <xf numFmtId="0" fontId="0" fillId="0" borderId="11" xfId="0" applyBorder="1" applyAlignment="1">
      <alignment horizontal="left" vertical="center"/>
    </xf>
    <xf numFmtId="49" fontId="5" fillId="0" borderId="8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168" fontId="5" fillId="0" borderId="0" xfId="0" applyNumberFormat="1" applyFont="1" applyAlignment="1">
      <alignment horizontal="left"/>
    </xf>
    <xf numFmtId="42" fontId="0" fillId="0" borderId="0" xfId="0" applyNumberFormat="1"/>
    <xf numFmtId="42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5" fillId="0" borderId="0" xfId="0" applyFont="1"/>
    <xf numFmtId="0" fontId="0" fillId="0" borderId="29" xfId="0" applyBorder="1"/>
    <xf numFmtId="0" fontId="0" fillId="0" borderId="20" xfId="0" applyBorder="1"/>
    <xf numFmtId="42" fontId="5" fillId="0" borderId="1" xfId="0" applyNumberFormat="1" applyFont="1" applyBorder="1"/>
    <xf numFmtId="0" fontId="0" fillId="0" borderId="22" xfId="0" applyBorder="1"/>
    <xf numFmtId="42" fontId="2" fillId="0" borderId="1" xfId="0" applyNumberFormat="1" applyFont="1" applyBorder="1"/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6" xfId="0" applyFont="1" applyBorder="1" applyAlignment="1">
      <alignment horizontal="left" inden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indent="1"/>
    </xf>
    <xf numFmtId="0" fontId="3" fillId="0" borderId="8" xfId="0" applyFont="1" applyBorder="1" applyAlignment="1">
      <alignment horizontal="left" indent="1"/>
    </xf>
    <xf numFmtId="0" fontId="3" fillId="0" borderId="9" xfId="0" applyFont="1" applyBorder="1" applyAlignment="1">
      <alignment horizontal="left" indent="1"/>
    </xf>
    <xf numFmtId="0" fontId="8" fillId="0" borderId="10" xfId="0" applyFont="1" applyBorder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 indent="1"/>
    </xf>
    <xf numFmtId="0" fontId="9" fillId="0" borderId="10" xfId="0" applyFont="1" applyBorder="1" applyAlignment="1">
      <alignment horizontal="center"/>
    </xf>
    <xf numFmtId="0" fontId="3" fillId="0" borderId="17" xfId="0" applyFont="1" applyBorder="1" applyAlignment="1">
      <alignment horizontal="left" indent="1"/>
    </xf>
    <xf numFmtId="0" fontId="3" fillId="0" borderId="16" xfId="0" applyFont="1" applyBorder="1" applyAlignment="1">
      <alignment horizontal="left" indent="1"/>
    </xf>
    <xf numFmtId="0" fontId="3" fillId="0" borderId="15" xfId="0" applyFont="1" applyBorder="1" applyAlignment="1">
      <alignment horizontal="left" indent="1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1" fillId="0" borderId="20" xfId="3" applyFont="1" applyBorder="1" applyAlignment="1">
      <alignment horizontal="left" indent="1"/>
    </xf>
    <xf numFmtId="0" fontId="11" fillId="0" borderId="19" xfId="3" applyFont="1" applyBorder="1" applyAlignment="1">
      <alignment horizontal="left" indent="1"/>
    </xf>
    <xf numFmtId="0" fontId="11" fillId="0" borderId="18" xfId="3" applyFont="1" applyBorder="1" applyAlignment="1">
      <alignment horizontal="left" indent="1"/>
    </xf>
    <xf numFmtId="0" fontId="14" fillId="0" borderId="0" xfId="3" applyFont="1" applyAlignment="1">
      <alignment horizontal="center"/>
    </xf>
    <xf numFmtId="0" fontId="12" fillId="0" borderId="10" xfId="3" applyFont="1" applyBorder="1" applyAlignment="1">
      <alignment horizontal="center"/>
    </xf>
    <xf numFmtId="0" fontId="12" fillId="2" borderId="1" xfId="3" applyFont="1" applyFill="1" applyBorder="1" applyAlignment="1">
      <alignment horizontal="center" vertical="center" wrapText="1"/>
    </xf>
    <xf numFmtId="0" fontId="12" fillId="2" borderId="14" xfId="3" applyFont="1" applyFill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0" fontId="12" fillId="0" borderId="12" xfId="3" applyFont="1" applyBorder="1" applyAlignment="1">
      <alignment horizontal="center" vertical="center"/>
    </xf>
    <xf numFmtId="0" fontId="12" fillId="0" borderId="11" xfId="3" applyFont="1" applyBorder="1" applyAlignment="1">
      <alignment horizontal="center" vertical="center"/>
    </xf>
    <xf numFmtId="0" fontId="11" fillId="0" borderId="25" xfId="3" applyFont="1" applyBorder="1" applyAlignment="1">
      <alignment horizontal="left" indent="1"/>
    </xf>
    <xf numFmtId="0" fontId="11" fillId="0" borderId="24" xfId="3" applyFont="1" applyBorder="1" applyAlignment="1">
      <alignment horizontal="left" indent="1"/>
    </xf>
    <xf numFmtId="0" fontId="11" fillId="0" borderId="23" xfId="3" applyFont="1" applyBorder="1" applyAlignment="1">
      <alignment horizontal="left" indent="1"/>
    </xf>
    <xf numFmtId="0" fontId="11" fillId="0" borderId="22" xfId="3" applyFont="1" applyBorder="1" applyAlignment="1">
      <alignment horizontal="left" indent="1"/>
    </xf>
    <xf numFmtId="0" fontId="11" fillId="0" borderId="0" xfId="3" applyFont="1" applyAlignment="1">
      <alignment horizontal="left" indent="1"/>
    </xf>
    <xf numFmtId="0" fontId="11" fillId="0" borderId="21" xfId="3" applyFont="1" applyBorder="1" applyAlignment="1">
      <alignment horizontal="left" indent="1"/>
    </xf>
    <xf numFmtId="0" fontId="5" fillId="2" borderId="2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9" fillId="4" borderId="1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68DB9A45-8988-4280-B125-3AD8C7CF7FE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84F1-0ADB-4429-A998-D97DEABE5344}">
  <dimension ref="A1:O18"/>
  <sheetViews>
    <sheetView zoomScale="77" zoomScaleNormal="77" workbookViewId="0">
      <selection activeCell="D16" sqref="D16"/>
    </sheetView>
  </sheetViews>
  <sheetFormatPr defaultRowHeight="15" x14ac:dyDescent="0.25"/>
  <cols>
    <col min="1" max="1" width="12.42578125" customWidth="1"/>
    <col min="2" max="2" width="12.7109375" customWidth="1"/>
    <col min="3" max="5" width="10.85546875" customWidth="1"/>
    <col min="6" max="6" width="11" customWidth="1"/>
    <col min="7" max="7" width="19.140625" bestFit="1" customWidth="1"/>
    <col min="8" max="8" width="11" customWidth="1"/>
  </cols>
  <sheetData>
    <row r="1" spans="1:15" s="2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25">
      <c r="A2" s="3">
        <v>45155</v>
      </c>
      <c r="B2" s="4" t="s">
        <v>8</v>
      </c>
      <c r="C2" s="5" t="s">
        <v>9</v>
      </c>
      <c r="D2" s="5" t="str">
        <f t="shared" ref="D2:D8" si="0">HLOOKUP(LEFT(C2,3),TABEL_KELAS,2,0)</f>
        <v>Ekonomi</v>
      </c>
      <c r="E2" s="5" t="str">
        <f t="shared" ref="E2:E8" si="1">VLOOKUP(RIGHT(C2,1),TABEL_TIKET,2)</f>
        <v>Dewasa</v>
      </c>
      <c r="F2" s="6" cm="1">
        <f t="array" ref="F2">VLOOKUP(RIGHT(C2,1),TABEL_TIKET,_xlfn.IFS(LEFT(C2,3)=$B$11,3,LEFT(C2,3)=$C$11,4,LEFT(C2,3)=$D$11,5))</f>
        <v>75000</v>
      </c>
      <c r="G2" s="6">
        <f>IF(_xlfn.DAYS(DATE(2023,9,1),A2)&gt;=0,10%*F2,0)</f>
        <v>7500</v>
      </c>
      <c r="H2" s="7">
        <f>F2-G2</f>
        <v>67500</v>
      </c>
    </row>
    <row r="3" spans="1:15" x14ac:dyDescent="0.25">
      <c r="A3" s="3">
        <v>45170</v>
      </c>
      <c r="B3" s="4" t="s">
        <v>10</v>
      </c>
      <c r="C3" s="5" t="s">
        <v>11</v>
      </c>
      <c r="D3" s="5" t="str">
        <f t="shared" si="0"/>
        <v>Executive</v>
      </c>
      <c r="E3" s="5" t="str">
        <f t="shared" si="1"/>
        <v>Anak</v>
      </c>
      <c r="F3" s="6" cm="1">
        <f t="array" ref="F3">VLOOKUP(RIGHT(C3,1),TABEL_TIKET,_xlfn.IFS(LEFT(C3,3)=$B$11,3,LEFT(C3,3)=$C$11,4,LEFT(C3,3)=$D$11,5))</f>
        <v>100000</v>
      </c>
      <c r="G3" s="6">
        <f t="shared" ref="G3:G8" si="2">IF(_xlfn.DAYS(DATE(2023,9,1),A3)&gt;=0,10%*F3,0)</f>
        <v>10000</v>
      </c>
      <c r="H3" s="7">
        <f t="shared" ref="H3:H8" si="3">F3-G3</f>
        <v>90000</v>
      </c>
    </row>
    <row r="4" spans="1:15" x14ac:dyDescent="0.25">
      <c r="A4" s="3">
        <v>45169</v>
      </c>
      <c r="B4" s="4" t="s">
        <v>12</v>
      </c>
      <c r="C4" s="5" t="s">
        <v>13</v>
      </c>
      <c r="D4" s="5" t="str">
        <f t="shared" si="0"/>
        <v>Bisnis</v>
      </c>
      <c r="E4" s="5" t="str">
        <f t="shared" si="1"/>
        <v>Anak</v>
      </c>
      <c r="F4" s="6" cm="1">
        <f t="array" ref="F4">VLOOKUP(RIGHT(C4,1),TABEL_TIKET,_xlfn.IFS(LEFT(C4,3)=$B$11,3,LEFT(C4,3)=$C$11,4,LEFT(C4,3)=$D$11,5))</f>
        <v>70000</v>
      </c>
      <c r="G4" s="6">
        <f t="shared" si="2"/>
        <v>7000</v>
      </c>
      <c r="H4" s="7">
        <f t="shared" si="3"/>
        <v>63000</v>
      </c>
    </row>
    <row r="5" spans="1:15" x14ac:dyDescent="0.25">
      <c r="A5" s="3">
        <v>45174</v>
      </c>
      <c r="B5" s="4" t="s">
        <v>14</v>
      </c>
      <c r="C5" s="5" t="s">
        <v>15</v>
      </c>
      <c r="D5" s="5" t="str">
        <f t="shared" si="0"/>
        <v>Executive</v>
      </c>
      <c r="E5" s="5" t="str">
        <f t="shared" si="1"/>
        <v>Dewasa</v>
      </c>
      <c r="F5" s="6" cm="1">
        <f t="array" ref="F5">VLOOKUP(RIGHT(C5,1),TABEL_TIKET,_xlfn.IFS(LEFT(C5,3)=$B$11,3,LEFT(C5,3)=$C$11,4,LEFT(C5,3)=$D$11,5))</f>
        <v>150000</v>
      </c>
      <c r="G5" s="6">
        <f t="shared" si="2"/>
        <v>0</v>
      </c>
      <c r="H5" s="7">
        <f t="shared" si="3"/>
        <v>150000</v>
      </c>
    </row>
    <row r="6" spans="1:15" x14ac:dyDescent="0.25">
      <c r="A6" s="3">
        <v>45163</v>
      </c>
      <c r="B6" s="4" t="s">
        <v>16</v>
      </c>
      <c r="C6" s="5" t="s">
        <v>17</v>
      </c>
      <c r="D6" s="5" t="str">
        <f t="shared" si="0"/>
        <v>Ekonomi</v>
      </c>
      <c r="E6" s="5" t="str">
        <f t="shared" si="1"/>
        <v>Lansia</v>
      </c>
      <c r="F6" s="6" cm="1">
        <f t="array" ref="F6">VLOOKUP(RIGHT(C6,1),TABEL_TIKET,_xlfn.IFS(LEFT(C6,3)=$B$11,3,LEFT(C6,3)=$C$11,4,LEFT(C6,3)=$D$11,5))</f>
        <v>60000</v>
      </c>
      <c r="G6" s="6">
        <f t="shared" si="2"/>
        <v>6000</v>
      </c>
      <c r="H6" s="7">
        <f t="shared" si="3"/>
        <v>54000</v>
      </c>
    </row>
    <row r="7" spans="1:15" x14ac:dyDescent="0.25">
      <c r="A7" s="3">
        <v>45179</v>
      </c>
      <c r="B7" s="4" t="s">
        <v>18</v>
      </c>
      <c r="C7" s="5" t="s">
        <v>19</v>
      </c>
      <c r="D7" s="5" t="str">
        <f t="shared" si="0"/>
        <v>Bisnis</v>
      </c>
      <c r="E7" s="5" t="str">
        <f t="shared" si="1"/>
        <v>Dewasa</v>
      </c>
      <c r="F7" s="6" cm="1">
        <f t="array" ref="F7">VLOOKUP(RIGHT(C7,1),TABEL_TIKET,_xlfn.IFS(LEFT(C7,3)=$B$11,3,LEFT(C7,3)=$C$11,4,LEFT(C7,3)=$D$11,5))</f>
        <v>100000</v>
      </c>
      <c r="G7" s="6">
        <f t="shared" si="2"/>
        <v>0</v>
      </c>
      <c r="H7" s="7">
        <f t="shared" si="3"/>
        <v>100000</v>
      </c>
    </row>
    <row r="8" spans="1:15" x14ac:dyDescent="0.25">
      <c r="A8" s="3">
        <v>45169</v>
      </c>
      <c r="B8" s="4" t="s">
        <v>20</v>
      </c>
      <c r="C8" s="5" t="s">
        <v>21</v>
      </c>
      <c r="D8" s="5" t="str">
        <f t="shared" si="0"/>
        <v>Executive</v>
      </c>
      <c r="E8" s="5" t="str">
        <f t="shared" si="1"/>
        <v>Lansia</v>
      </c>
      <c r="F8" s="6" cm="1">
        <f t="array" ref="F8">VLOOKUP(RIGHT(C8,1),TABEL_TIKET,_xlfn.IFS(LEFT(C8,3)=$B$11,3,LEFT(C8,3)=$C$11,4,LEFT(C8,3)=$D$11,5))</f>
        <v>120000</v>
      </c>
      <c r="G8" s="6">
        <f t="shared" si="2"/>
        <v>12000</v>
      </c>
      <c r="H8" s="7">
        <f t="shared" si="3"/>
        <v>108000</v>
      </c>
    </row>
    <row r="10" spans="1:15" x14ac:dyDescent="0.25">
      <c r="A10" s="8" t="s">
        <v>22</v>
      </c>
    </row>
    <row r="11" spans="1:15" x14ac:dyDescent="0.25">
      <c r="A11" s="9" t="s">
        <v>23</v>
      </c>
      <c r="B11" s="5" t="s">
        <v>24</v>
      </c>
      <c r="C11" s="5" t="s">
        <v>25</v>
      </c>
      <c r="D11" s="5" t="s">
        <v>26</v>
      </c>
      <c r="G11" s="101" t="s">
        <v>27</v>
      </c>
      <c r="H11" s="102"/>
      <c r="I11" s="102"/>
      <c r="J11" s="102"/>
      <c r="K11" s="102"/>
      <c r="L11" s="102"/>
      <c r="M11" s="102"/>
      <c r="N11" s="102"/>
      <c r="O11" s="103"/>
    </row>
    <row r="12" spans="1:15" x14ac:dyDescent="0.25">
      <c r="A12" s="9" t="s">
        <v>3</v>
      </c>
      <c r="B12" s="5" t="s">
        <v>28</v>
      </c>
      <c r="C12" s="5" t="s">
        <v>29</v>
      </c>
      <c r="D12" s="5" t="s">
        <v>30</v>
      </c>
      <c r="G12" s="104" t="s">
        <v>31</v>
      </c>
      <c r="H12" s="105"/>
      <c r="I12" s="105"/>
      <c r="J12" s="105"/>
      <c r="K12" s="105"/>
      <c r="L12" s="105"/>
      <c r="M12" s="105"/>
      <c r="N12" s="105"/>
      <c r="O12" s="106"/>
    </row>
    <row r="13" spans="1:15" x14ac:dyDescent="0.25">
      <c r="G13" s="104" t="s">
        <v>42</v>
      </c>
      <c r="H13" s="105"/>
      <c r="I13" s="105"/>
      <c r="J13" s="105"/>
      <c r="K13" s="105"/>
      <c r="L13" s="105"/>
      <c r="M13" s="105"/>
      <c r="N13" s="105"/>
      <c r="O13" s="106"/>
    </row>
    <row r="14" spans="1:15" x14ac:dyDescent="0.25">
      <c r="A14" s="8" t="s">
        <v>32</v>
      </c>
      <c r="G14" s="104" t="s">
        <v>33</v>
      </c>
      <c r="H14" s="105"/>
      <c r="I14" s="105"/>
      <c r="J14" s="105"/>
      <c r="K14" s="105"/>
      <c r="L14" s="105"/>
      <c r="M14" s="105"/>
      <c r="N14" s="105"/>
      <c r="O14" s="106"/>
    </row>
    <row r="15" spans="1:15" x14ac:dyDescent="0.25">
      <c r="A15" s="10" t="s">
        <v>2</v>
      </c>
      <c r="B15" s="10" t="s">
        <v>4</v>
      </c>
      <c r="C15" s="10" t="s">
        <v>28</v>
      </c>
      <c r="D15" s="10" t="s">
        <v>29</v>
      </c>
      <c r="E15" s="10" t="s">
        <v>30</v>
      </c>
      <c r="G15" s="104" t="s">
        <v>34</v>
      </c>
      <c r="H15" s="105"/>
      <c r="I15" s="105"/>
      <c r="J15" s="105"/>
      <c r="K15" s="105"/>
      <c r="L15" s="105"/>
      <c r="M15" s="105"/>
      <c r="N15" s="105"/>
      <c r="O15" s="106"/>
    </row>
    <row r="16" spans="1:15" x14ac:dyDescent="0.25">
      <c r="A16" s="11" t="s">
        <v>35</v>
      </c>
      <c r="B16" s="5" t="s">
        <v>36</v>
      </c>
      <c r="C16" s="6">
        <v>50000</v>
      </c>
      <c r="D16" s="6">
        <v>70000</v>
      </c>
      <c r="E16" s="6">
        <v>100000</v>
      </c>
      <c r="G16" s="98" t="s">
        <v>37</v>
      </c>
      <c r="H16" s="99"/>
      <c r="I16" s="99"/>
      <c r="J16" s="99"/>
      <c r="K16" s="99"/>
      <c r="L16" s="99"/>
      <c r="M16" s="99"/>
      <c r="N16" s="99"/>
      <c r="O16" s="100"/>
    </row>
    <row r="17" spans="1:5" x14ac:dyDescent="0.25">
      <c r="A17" s="11" t="s">
        <v>38</v>
      </c>
      <c r="B17" s="5" t="s">
        <v>39</v>
      </c>
      <c r="C17" s="6">
        <v>75000</v>
      </c>
      <c r="D17" s="6">
        <v>100000</v>
      </c>
      <c r="E17" s="6">
        <v>150000</v>
      </c>
    </row>
    <row r="18" spans="1:5" x14ac:dyDescent="0.25">
      <c r="A18" s="11" t="s">
        <v>40</v>
      </c>
      <c r="B18" s="5" t="s">
        <v>41</v>
      </c>
      <c r="C18" s="6">
        <v>60000</v>
      </c>
      <c r="D18" s="6">
        <v>85000</v>
      </c>
      <c r="E18" s="6">
        <v>120000</v>
      </c>
    </row>
  </sheetData>
  <mergeCells count="6">
    <mergeCell ref="G16:O16"/>
    <mergeCell ref="G11:O11"/>
    <mergeCell ref="G12:O12"/>
    <mergeCell ref="G13:O13"/>
    <mergeCell ref="G14:O14"/>
    <mergeCell ref="G15:O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B98D-C7F5-4522-87D8-0EEEC869CBC9}">
  <dimension ref="A1:J18"/>
  <sheetViews>
    <sheetView zoomScale="85" zoomScaleNormal="85" workbookViewId="0">
      <selection activeCell="F15" sqref="F15:I18"/>
    </sheetView>
  </sheetViews>
  <sheetFormatPr defaultRowHeight="15" x14ac:dyDescent="0.25"/>
  <cols>
    <col min="1" max="2" width="7.7109375" customWidth="1"/>
    <col min="3" max="3" width="10" customWidth="1"/>
    <col min="4" max="4" width="7.7109375" customWidth="1"/>
    <col min="5" max="10" width="12.85546875" customWidth="1"/>
  </cols>
  <sheetData>
    <row r="1" spans="1:10" ht="15.75" thickBot="1" x14ac:dyDescent="0.3">
      <c r="A1" s="109" t="s">
        <v>72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10" ht="15.75" thickTop="1" x14ac:dyDescent="0.25"/>
    <row r="3" spans="1:10" x14ac:dyDescent="0.25">
      <c r="A3" s="107" t="s">
        <v>71</v>
      </c>
      <c r="B3" s="107" t="s">
        <v>70</v>
      </c>
      <c r="C3" s="111" t="s">
        <v>69</v>
      </c>
      <c r="D3" s="107" t="s">
        <v>47</v>
      </c>
      <c r="E3" s="108" t="s">
        <v>68</v>
      </c>
      <c r="F3" s="108"/>
      <c r="G3" s="108"/>
      <c r="H3" s="111" t="s">
        <v>67</v>
      </c>
      <c r="I3" s="107" t="s">
        <v>43</v>
      </c>
      <c r="J3" s="107" t="s">
        <v>66</v>
      </c>
    </row>
    <row r="4" spans="1:10" x14ac:dyDescent="0.25">
      <c r="A4" s="107"/>
      <c r="B4" s="107"/>
      <c r="C4" s="111"/>
      <c r="D4" s="107"/>
      <c r="E4" s="10" t="s">
        <v>65</v>
      </c>
      <c r="F4" s="10" t="s">
        <v>45</v>
      </c>
      <c r="G4" s="10" t="s">
        <v>44</v>
      </c>
      <c r="H4" s="111"/>
      <c r="I4" s="107"/>
      <c r="J4" s="107"/>
    </row>
    <row r="5" spans="1:10" x14ac:dyDescent="0.25">
      <c r="A5" s="11">
        <v>1</v>
      </c>
      <c r="B5" s="11" t="s">
        <v>64</v>
      </c>
      <c r="C5" s="4" t="s">
        <v>63</v>
      </c>
      <c r="D5" s="11">
        <v>2</v>
      </c>
      <c r="E5" s="6">
        <f>VLOOKUP($D5,$F$15:$I$18,2,0)</f>
        <v>4000000</v>
      </c>
      <c r="F5" s="6">
        <f>VLOOKUP($D5,$F$15:$I$18,3,0)</f>
        <v>1000000</v>
      </c>
      <c r="G5" s="6">
        <f>VLOOKUP($D5,$F$15:$I$18,4,0)</f>
        <v>1500000</v>
      </c>
      <c r="H5" s="6">
        <f>SUM(E5:G5)</f>
        <v>6500000</v>
      </c>
      <c r="I5" s="6">
        <f>HLOOKUP(D5,$A$15:$D$16,2,0)*H5</f>
        <v>227500.00000000003</v>
      </c>
      <c r="J5" s="6">
        <f>H5-I5</f>
        <v>6272500</v>
      </c>
    </row>
    <row r="6" spans="1:10" x14ac:dyDescent="0.25">
      <c r="A6" s="11">
        <v>2</v>
      </c>
      <c r="B6" s="11" t="s">
        <v>62</v>
      </c>
      <c r="C6" s="4" t="s">
        <v>61</v>
      </c>
      <c r="D6" s="11">
        <v>3</v>
      </c>
      <c r="E6" s="6">
        <f t="shared" ref="E6:E10" si="0">VLOOKUP($D6,$F$15:$I$18,2,0)</f>
        <v>7000000</v>
      </c>
      <c r="F6" s="6">
        <f t="shared" ref="F6:F11" si="1">VLOOKUP($D6,$F$15:$I$18,3,0)</f>
        <v>1500000</v>
      </c>
      <c r="G6" s="6">
        <f t="shared" ref="G6:G11" si="2">VLOOKUP($D6,$F$15:$I$18,4,0)</f>
        <v>2000000</v>
      </c>
      <c r="H6" s="6">
        <f t="shared" ref="H6:H11" si="3">SUM(E6:G6)</f>
        <v>10500000</v>
      </c>
      <c r="I6" s="6">
        <f t="shared" ref="I6:I11" si="4">HLOOKUP(D6,$A$15:$D$16,2,0)*H6</f>
        <v>525000</v>
      </c>
      <c r="J6" s="6">
        <f t="shared" ref="J6:J11" si="5">H6-I6</f>
        <v>9975000</v>
      </c>
    </row>
    <row r="7" spans="1:10" x14ac:dyDescent="0.25">
      <c r="A7" s="11">
        <v>3</v>
      </c>
      <c r="B7" s="11" t="s">
        <v>60</v>
      </c>
      <c r="C7" s="4" t="s">
        <v>59</v>
      </c>
      <c r="D7" s="11">
        <v>1</v>
      </c>
      <c r="E7" s="6">
        <f t="shared" si="0"/>
        <v>2500000</v>
      </c>
      <c r="F7" s="6">
        <f t="shared" si="1"/>
        <v>750000</v>
      </c>
      <c r="G7" s="6">
        <f t="shared" si="2"/>
        <v>1000000</v>
      </c>
      <c r="H7" s="6">
        <f t="shared" si="3"/>
        <v>4250000</v>
      </c>
      <c r="I7" s="6">
        <f t="shared" si="4"/>
        <v>106250</v>
      </c>
      <c r="J7" s="6">
        <f t="shared" si="5"/>
        <v>4143750</v>
      </c>
    </row>
    <row r="8" spans="1:10" x14ac:dyDescent="0.25">
      <c r="A8" s="11">
        <v>4</v>
      </c>
      <c r="B8" s="11" t="s">
        <v>58</v>
      </c>
      <c r="C8" s="4" t="s">
        <v>57</v>
      </c>
      <c r="D8" s="11">
        <v>2</v>
      </c>
      <c r="E8" s="6">
        <f t="shared" si="0"/>
        <v>4000000</v>
      </c>
      <c r="F8" s="6">
        <f t="shared" si="1"/>
        <v>1000000</v>
      </c>
      <c r="G8" s="6">
        <f t="shared" si="2"/>
        <v>1500000</v>
      </c>
      <c r="H8" s="6">
        <f t="shared" si="3"/>
        <v>6500000</v>
      </c>
      <c r="I8" s="6">
        <f t="shared" si="4"/>
        <v>227500.00000000003</v>
      </c>
      <c r="J8" s="6">
        <f t="shared" si="5"/>
        <v>6272500</v>
      </c>
    </row>
    <row r="9" spans="1:10" x14ac:dyDescent="0.25">
      <c r="A9" s="11">
        <v>5</v>
      </c>
      <c r="B9" s="11" t="s">
        <v>56</v>
      </c>
      <c r="C9" s="4" t="s">
        <v>55</v>
      </c>
      <c r="D9" s="11">
        <v>2</v>
      </c>
      <c r="E9" s="6">
        <f t="shared" si="0"/>
        <v>4000000</v>
      </c>
      <c r="F9" s="6">
        <f t="shared" si="1"/>
        <v>1000000</v>
      </c>
      <c r="G9" s="6">
        <f t="shared" si="2"/>
        <v>1500000</v>
      </c>
      <c r="H9" s="6">
        <f t="shared" si="3"/>
        <v>6500000</v>
      </c>
      <c r="I9" s="6">
        <f t="shared" si="4"/>
        <v>227500.00000000003</v>
      </c>
      <c r="J9" s="6">
        <f t="shared" si="5"/>
        <v>6272500</v>
      </c>
    </row>
    <row r="10" spans="1:10" x14ac:dyDescent="0.25">
      <c r="A10" s="11">
        <v>6</v>
      </c>
      <c r="B10" s="11" t="s">
        <v>54</v>
      </c>
      <c r="C10" s="4" t="s">
        <v>53</v>
      </c>
      <c r="D10" s="11">
        <v>1</v>
      </c>
      <c r="E10" s="6">
        <f t="shared" si="0"/>
        <v>2500000</v>
      </c>
      <c r="F10" s="6">
        <f t="shared" si="1"/>
        <v>750000</v>
      </c>
      <c r="G10" s="6">
        <f t="shared" si="2"/>
        <v>1000000</v>
      </c>
      <c r="H10" s="6">
        <f t="shared" si="3"/>
        <v>4250000</v>
      </c>
      <c r="I10" s="6">
        <f t="shared" si="4"/>
        <v>106250</v>
      </c>
      <c r="J10" s="6">
        <f t="shared" si="5"/>
        <v>4143750</v>
      </c>
    </row>
    <row r="11" spans="1:10" x14ac:dyDescent="0.25">
      <c r="A11" s="11">
        <v>7</v>
      </c>
      <c r="B11" s="11" t="s">
        <v>52</v>
      </c>
      <c r="C11" s="4" t="s">
        <v>51</v>
      </c>
      <c r="D11" s="11">
        <v>3</v>
      </c>
      <c r="E11" s="6">
        <f>VLOOKUP($D11,$F$15:$I$18,2,0)</f>
        <v>7000000</v>
      </c>
      <c r="F11" s="6">
        <f t="shared" si="1"/>
        <v>1500000</v>
      </c>
      <c r="G11" s="6">
        <f t="shared" si="2"/>
        <v>2000000</v>
      </c>
      <c r="H11" s="6">
        <f t="shared" si="3"/>
        <v>10500000</v>
      </c>
      <c r="I11" s="6">
        <f t="shared" si="4"/>
        <v>525000</v>
      </c>
      <c r="J11" s="6">
        <f t="shared" si="5"/>
        <v>9975000</v>
      </c>
    </row>
    <row r="12" spans="1:10" x14ac:dyDescent="0.25">
      <c r="A12" s="110" t="s">
        <v>50</v>
      </c>
      <c r="B12" s="110"/>
      <c r="C12" s="110"/>
      <c r="D12" s="110"/>
      <c r="E12" s="110"/>
      <c r="F12" s="110"/>
      <c r="G12" s="110"/>
      <c r="H12" s="110"/>
      <c r="I12" s="6">
        <f>SUM(I5:I11)</f>
        <v>1945000</v>
      </c>
      <c r="J12" s="6">
        <f>SUM(J5:J11)</f>
        <v>47055000</v>
      </c>
    </row>
    <row r="13" spans="1:10" x14ac:dyDescent="0.25">
      <c r="A13" s="14"/>
      <c r="B13" s="14"/>
      <c r="C13" s="14"/>
      <c r="D13" s="14"/>
      <c r="E13" s="14"/>
      <c r="F13" s="14"/>
      <c r="G13" s="14"/>
      <c r="H13" s="14"/>
    </row>
    <row r="14" spans="1:10" x14ac:dyDescent="0.25">
      <c r="A14" s="8" t="s">
        <v>49</v>
      </c>
      <c r="F14" s="8" t="s">
        <v>48</v>
      </c>
    </row>
    <row r="15" spans="1:10" x14ac:dyDescent="0.25">
      <c r="A15" s="10" t="s">
        <v>47</v>
      </c>
      <c r="B15" s="11">
        <v>1</v>
      </c>
      <c r="C15" s="11">
        <v>2</v>
      </c>
      <c r="D15" s="11">
        <v>3</v>
      </c>
      <c r="F15" s="10" t="s">
        <v>47</v>
      </c>
      <c r="G15" s="10" t="s">
        <v>46</v>
      </c>
      <c r="H15" s="10" t="s">
        <v>45</v>
      </c>
      <c r="I15" s="10" t="s">
        <v>44</v>
      </c>
    </row>
    <row r="16" spans="1:10" x14ac:dyDescent="0.25">
      <c r="A16" s="10" t="s">
        <v>43</v>
      </c>
      <c r="B16" s="13">
        <v>2.5000000000000001E-2</v>
      </c>
      <c r="C16" s="13">
        <v>3.5000000000000003E-2</v>
      </c>
      <c r="D16" s="12">
        <v>0.05</v>
      </c>
      <c r="F16" s="11">
        <v>1</v>
      </c>
      <c r="G16" s="6">
        <v>2500000</v>
      </c>
      <c r="H16" s="6">
        <v>750000</v>
      </c>
      <c r="I16" s="6">
        <v>1000000</v>
      </c>
    </row>
    <row r="17" spans="6:9" x14ac:dyDescent="0.25">
      <c r="F17" s="11">
        <v>2</v>
      </c>
      <c r="G17" s="6">
        <v>4000000</v>
      </c>
      <c r="H17" s="6">
        <v>1000000</v>
      </c>
      <c r="I17" s="6">
        <v>1500000</v>
      </c>
    </row>
    <row r="18" spans="6:9" x14ac:dyDescent="0.25">
      <c r="F18" s="11">
        <v>3</v>
      </c>
      <c r="G18" s="6">
        <v>7000000</v>
      </c>
      <c r="H18" s="6">
        <v>1500000</v>
      </c>
      <c r="I18" s="6">
        <v>2000000</v>
      </c>
    </row>
  </sheetData>
  <mergeCells count="10">
    <mergeCell ref="J3:J4"/>
    <mergeCell ref="E3:G3"/>
    <mergeCell ref="A1:J1"/>
    <mergeCell ref="A12:H12"/>
    <mergeCell ref="A3:A4"/>
    <mergeCell ref="B3:B4"/>
    <mergeCell ref="C3:C4"/>
    <mergeCell ref="D3:D4"/>
    <mergeCell ref="H3:H4"/>
    <mergeCell ref="I3:I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FDD4-9B6F-47FB-872C-BAEA283CDF6D}">
  <dimension ref="A1:L30"/>
  <sheetViews>
    <sheetView topLeftCell="E1" zoomScale="85" zoomScaleNormal="85" workbookViewId="0">
      <selection activeCell="H18" sqref="H18"/>
    </sheetView>
  </sheetViews>
  <sheetFormatPr defaultRowHeight="15" x14ac:dyDescent="0.25"/>
  <cols>
    <col min="1" max="1" width="6.5703125" customWidth="1"/>
    <col min="2" max="2" width="12" customWidth="1"/>
    <col min="3" max="3" width="10.140625" customWidth="1"/>
    <col min="4" max="4" width="12.140625" customWidth="1"/>
    <col min="5" max="5" width="11.28515625" customWidth="1"/>
    <col min="6" max="6" width="13.7109375" customWidth="1"/>
    <col min="7" max="9" width="11.28515625" customWidth="1"/>
    <col min="10" max="10" width="13.42578125" bestFit="1" customWidth="1"/>
    <col min="11" max="11" width="12.140625" customWidth="1"/>
    <col min="12" max="12" width="13.42578125" bestFit="1" customWidth="1"/>
  </cols>
  <sheetData>
    <row r="1" spans="1:12" ht="19.5" thickBot="1" x14ac:dyDescent="0.35">
      <c r="A1" s="122" t="s">
        <v>114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</row>
    <row r="2" spans="1:12" ht="15.75" thickTop="1" x14ac:dyDescent="0.25"/>
    <row r="3" spans="1:12" s="2" customFormat="1" x14ac:dyDescent="0.25">
      <c r="A3" s="107" t="s">
        <v>113</v>
      </c>
      <c r="B3" s="111" t="s">
        <v>112</v>
      </c>
      <c r="C3" s="111" t="s">
        <v>93</v>
      </c>
      <c r="D3" s="111" t="s">
        <v>92</v>
      </c>
      <c r="E3" s="111" t="s">
        <v>111</v>
      </c>
      <c r="F3" s="111" t="s">
        <v>91</v>
      </c>
      <c r="G3" s="111" t="s">
        <v>90</v>
      </c>
      <c r="H3" s="111" t="s">
        <v>110</v>
      </c>
      <c r="I3" s="107" t="s">
        <v>89</v>
      </c>
      <c r="J3" s="107"/>
      <c r="K3" s="107" t="s">
        <v>109</v>
      </c>
      <c r="L3" s="107"/>
    </row>
    <row r="4" spans="1:12" s="2" customFormat="1" ht="15.75" thickBot="1" x14ac:dyDescent="0.3">
      <c r="A4" s="118"/>
      <c r="B4" s="112"/>
      <c r="C4" s="112"/>
      <c r="D4" s="112"/>
      <c r="E4" s="112"/>
      <c r="F4" s="112"/>
      <c r="G4" s="112"/>
      <c r="H4" s="112"/>
      <c r="I4" s="27" t="s">
        <v>88</v>
      </c>
      <c r="J4" s="27" t="s">
        <v>87</v>
      </c>
      <c r="K4" s="27" t="s">
        <v>88</v>
      </c>
      <c r="L4" s="27" t="s">
        <v>87</v>
      </c>
    </row>
    <row r="5" spans="1:12" ht="15.75" thickTop="1" x14ac:dyDescent="0.25">
      <c r="A5" s="26">
        <v>1</v>
      </c>
      <c r="B5" s="24" t="s">
        <v>63</v>
      </c>
      <c r="C5" s="26" t="s">
        <v>108</v>
      </c>
      <c r="D5" s="24" t="str">
        <f>VLOOKUP(LEFT($C5,2),$A$17:$B$21,2,0)</f>
        <v>Bus</v>
      </c>
      <c r="E5" s="25">
        <v>220000</v>
      </c>
      <c r="F5" s="22">
        <f>VLOOKUP(D5,$B$19:$C$21,2,0)</f>
        <v>100000</v>
      </c>
      <c r="G5" s="21">
        <f>VLOOKUP(D5,$B$19:$D$21,3,0)</f>
        <v>50000</v>
      </c>
      <c r="H5" s="21">
        <f>E5-(F5+G5)</f>
        <v>70000</v>
      </c>
      <c r="I5" s="54">
        <f>VLOOKUP($D5,$B$19:$F$21,4,0)*H5</f>
        <v>35000</v>
      </c>
      <c r="J5" s="54">
        <f>VLOOKUP($D5,$B$19:$F$21,5,0)*H5</f>
        <v>35000</v>
      </c>
      <c r="K5" s="21">
        <f>G5+I5</f>
        <v>85000</v>
      </c>
      <c r="L5" s="21">
        <f>F5+J5</f>
        <v>135000</v>
      </c>
    </row>
    <row r="6" spans="1:12" x14ac:dyDescent="0.25">
      <c r="A6" s="11">
        <v>2</v>
      </c>
      <c r="B6" s="4" t="s">
        <v>61</v>
      </c>
      <c r="C6" s="11" t="s">
        <v>107</v>
      </c>
      <c r="D6" s="24" t="str">
        <f t="shared" ref="D6:D11" si="0">VLOOKUP(LEFT($C6,2),$A$17:$B$21,2,0)</f>
        <v>Angkot</v>
      </c>
      <c r="E6" s="23">
        <v>120000</v>
      </c>
      <c r="F6" s="22">
        <f t="shared" ref="F6:F11" si="1">VLOOKUP(D6,$B$19:$C$21,2,0)</f>
        <v>50000</v>
      </c>
      <c r="G6" s="21">
        <f t="shared" ref="G6:G11" si="2">VLOOKUP(D6,$B$19:$D$21,3,0)</f>
        <v>25000</v>
      </c>
      <c r="H6" s="21">
        <f t="shared" ref="H6:H11" si="3">E6-(F6+G6)</f>
        <v>45000</v>
      </c>
      <c r="I6" s="54">
        <f t="shared" ref="I6:I11" si="4">VLOOKUP($D6,$B$19:$F$21,4,0)*H6</f>
        <v>24750.000000000004</v>
      </c>
      <c r="J6" s="54">
        <f t="shared" ref="J6:J11" si="5">VLOOKUP($D6,$B$19:$F$21,5,0)*H6</f>
        <v>20250</v>
      </c>
      <c r="K6" s="21">
        <f t="shared" ref="K6:K11" si="6">G6+I6</f>
        <v>49750</v>
      </c>
      <c r="L6" s="21">
        <f t="shared" ref="L6:L11" si="7">F6+J6</f>
        <v>70250</v>
      </c>
    </row>
    <row r="7" spans="1:12" x14ac:dyDescent="0.25">
      <c r="A7" s="11">
        <v>3</v>
      </c>
      <c r="B7" s="4" t="s">
        <v>59</v>
      </c>
      <c r="C7" s="11" t="s">
        <v>106</v>
      </c>
      <c r="D7" s="24" t="str">
        <f t="shared" si="0"/>
        <v>Elf</v>
      </c>
      <c r="E7" s="23">
        <v>150000</v>
      </c>
      <c r="F7" s="22">
        <f t="shared" si="1"/>
        <v>75000</v>
      </c>
      <c r="G7" s="21">
        <f t="shared" si="2"/>
        <v>37500</v>
      </c>
      <c r="H7" s="21">
        <f t="shared" si="3"/>
        <v>37500</v>
      </c>
      <c r="I7" s="54">
        <f t="shared" si="4"/>
        <v>22500</v>
      </c>
      <c r="J7" s="54">
        <f t="shared" si="5"/>
        <v>15000</v>
      </c>
      <c r="K7" s="21">
        <f t="shared" si="6"/>
        <v>60000</v>
      </c>
      <c r="L7" s="21">
        <f t="shared" si="7"/>
        <v>90000</v>
      </c>
    </row>
    <row r="8" spans="1:12" x14ac:dyDescent="0.25">
      <c r="A8" s="11">
        <v>4</v>
      </c>
      <c r="B8" s="4" t="s">
        <v>57</v>
      </c>
      <c r="C8" s="11" t="s">
        <v>105</v>
      </c>
      <c r="D8" s="24" t="str">
        <f t="shared" si="0"/>
        <v>Elf</v>
      </c>
      <c r="E8" s="23">
        <v>200000</v>
      </c>
      <c r="F8" s="22">
        <f t="shared" si="1"/>
        <v>75000</v>
      </c>
      <c r="G8" s="21">
        <f t="shared" si="2"/>
        <v>37500</v>
      </c>
      <c r="H8" s="21">
        <f t="shared" si="3"/>
        <v>87500</v>
      </c>
      <c r="I8" s="54">
        <f t="shared" si="4"/>
        <v>52500</v>
      </c>
      <c r="J8" s="54">
        <f t="shared" si="5"/>
        <v>35000</v>
      </c>
      <c r="K8" s="21">
        <f t="shared" si="6"/>
        <v>90000</v>
      </c>
      <c r="L8" s="21">
        <f t="shared" si="7"/>
        <v>110000</v>
      </c>
    </row>
    <row r="9" spans="1:12" x14ac:dyDescent="0.25">
      <c r="A9" s="11">
        <v>5</v>
      </c>
      <c r="B9" s="4" t="s">
        <v>55</v>
      </c>
      <c r="C9" s="11" t="s">
        <v>104</v>
      </c>
      <c r="D9" s="24" t="str">
        <f t="shared" si="0"/>
        <v>Angkot</v>
      </c>
      <c r="E9" s="23">
        <v>100000</v>
      </c>
      <c r="F9" s="22">
        <f t="shared" si="1"/>
        <v>50000</v>
      </c>
      <c r="G9" s="21">
        <f t="shared" si="2"/>
        <v>25000</v>
      </c>
      <c r="H9" s="21">
        <f t="shared" si="3"/>
        <v>25000</v>
      </c>
      <c r="I9" s="54">
        <f t="shared" si="4"/>
        <v>13750.000000000002</v>
      </c>
      <c r="J9" s="54">
        <f t="shared" si="5"/>
        <v>11250</v>
      </c>
      <c r="K9" s="21">
        <f t="shared" si="6"/>
        <v>38750</v>
      </c>
      <c r="L9" s="21">
        <f t="shared" si="7"/>
        <v>61250</v>
      </c>
    </row>
    <row r="10" spans="1:12" x14ac:dyDescent="0.25">
      <c r="A10" s="11">
        <v>6</v>
      </c>
      <c r="B10" s="4" t="s">
        <v>53</v>
      </c>
      <c r="C10" s="11" t="s">
        <v>103</v>
      </c>
      <c r="D10" s="24" t="str">
        <f t="shared" si="0"/>
        <v>Bus</v>
      </c>
      <c r="E10" s="23">
        <v>150000</v>
      </c>
      <c r="F10" s="22">
        <f t="shared" si="1"/>
        <v>100000</v>
      </c>
      <c r="G10" s="21">
        <f t="shared" si="2"/>
        <v>50000</v>
      </c>
      <c r="H10" s="21">
        <f t="shared" si="3"/>
        <v>0</v>
      </c>
      <c r="I10" s="54">
        <f t="shared" si="4"/>
        <v>0</v>
      </c>
      <c r="J10" s="54">
        <f t="shared" si="5"/>
        <v>0</v>
      </c>
      <c r="K10" s="21">
        <f t="shared" si="6"/>
        <v>50000</v>
      </c>
      <c r="L10" s="21">
        <f t="shared" si="7"/>
        <v>100000</v>
      </c>
    </row>
    <row r="11" spans="1:12" x14ac:dyDescent="0.25">
      <c r="A11" s="11">
        <v>7</v>
      </c>
      <c r="B11" s="4" t="s">
        <v>51</v>
      </c>
      <c r="C11" s="11" t="s">
        <v>102</v>
      </c>
      <c r="D11" s="24" t="str">
        <f t="shared" si="0"/>
        <v>Bus</v>
      </c>
      <c r="E11" s="23">
        <v>300000</v>
      </c>
      <c r="F11" s="22">
        <f t="shared" si="1"/>
        <v>100000</v>
      </c>
      <c r="G11" s="21">
        <f t="shared" si="2"/>
        <v>50000</v>
      </c>
      <c r="H11" s="21">
        <f t="shared" si="3"/>
        <v>150000</v>
      </c>
      <c r="I11" s="54">
        <f t="shared" si="4"/>
        <v>75000</v>
      </c>
      <c r="J11" s="54">
        <f t="shared" si="5"/>
        <v>75000</v>
      </c>
      <c r="K11" s="21">
        <f t="shared" si="6"/>
        <v>125000</v>
      </c>
      <c r="L11" s="21">
        <f t="shared" si="7"/>
        <v>175000</v>
      </c>
    </row>
    <row r="12" spans="1:12" x14ac:dyDescent="0.25">
      <c r="A12" s="127" t="s">
        <v>101</v>
      </c>
      <c r="B12" s="127"/>
      <c r="C12" s="127"/>
      <c r="D12" s="18" cm="1">
        <f t="array" ref="D12">SUMPRODUCT(--($D$5:$D$11=$B$19))</f>
        <v>3</v>
      </c>
      <c r="F12" s="20"/>
      <c r="G12" s="19"/>
      <c r="I12" s="125" t="s">
        <v>100</v>
      </c>
      <c r="J12" s="126"/>
      <c r="K12" s="17">
        <f>SUM(K5:K11)</f>
        <v>498500</v>
      </c>
      <c r="L12" s="17">
        <f>SUM(L5:L11)</f>
        <v>741500</v>
      </c>
    </row>
    <row r="13" spans="1:12" x14ac:dyDescent="0.25">
      <c r="A13" s="127" t="s">
        <v>99</v>
      </c>
      <c r="B13" s="127"/>
      <c r="C13" s="127"/>
      <c r="D13" s="18">
        <f>COUNTIF($D$5:$D$11,$B20)</f>
        <v>2</v>
      </c>
      <c r="I13" s="125" t="s">
        <v>98</v>
      </c>
      <c r="J13" s="126"/>
      <c r="K13" s="17">
        <f>MAX(K5:K11)</f>
        <v>125000</v>
      </c>
      <c r="L13" s="17">
        <f>MAX(L5:L11)</f>
        <v>175000</v>
      </c>
    </row>
    <row r="14" spans="1:12" x14ac:dyDescent="0.25">
      <c r="A14" s="127" t="s">
        <v>97</v>
      </c>
      <c r="B14" s="127"/>
      <c r="C14" s="127"/>
      <c r="D14" s="18">
        <f>COUNTIF($D$5:$D$11,$B21)</f>
        <v>2</v>
      </c>
      <c r="I14" s="125" t="s">
        <v>96</v>
      </c>
      <c r="J14" s="126"/>
      <c r="K14" s="17">
        <f>MIN(K5:K11)</f>
        <v>38750</v>
      </c>
      <c r="L14" s="17">
        <f>MIN(L5:L11)</f>
        <v>61250</v>
      </c>
    </row>
    <row r="15" spans="1:12" x14ac:dyDescent="0.25">
      <c r="I15" s="125" t="s">
        <v>95</v>
      </c>
      <c r="J15" s="126"/>
      <c r="K15" s="17">
        <f>AVERAGE(K5:K11)</f>
        <v>71214.28571428571</v>
      </c>
      <c r="L15" s="17">
        <f>AVERAGE(L5:L11)</f>
        <v>105928.57142857143</v>
      </c>
    </row>
    <row r="16" spans="1:12" x14ac:dyDescent="0.25">
      <c r="A16" s="8" t="s">
        <v>94</v>
      </c>
    </row>
    <row r="17" spans="1:12" ht="15" customHeight="1" x14ac:dyDescent="0.25">
      <c r="A17" s="123" t="s">
        <v>93</v>
      </c>
      <c r="B17" s="123" t="s">
        <v>92</v>
      </c>
      <c r="C17" s="123" t="s">
        <v>91</v>
      </c>
      <c r="D17" s="123" t="s">
        <v>90</v>
      </c>
      <c r="E17" s="116" t="s">
        <v>89</v>
      </c>
      <c r="F17" s="117"/>
    </row>
    <row r="18" spans="1:12" x14ac:dyDescent="0.25">
      <c r="A18" s="124"/>
      <c r="B18" s="124"/>
      <c r="C18" s="124"/>
      <c r="D18" s="124"/>
      <c r="E18" s="16" t="s">
        <v>88</v>
      </c>
      <c r="F18" s="16" t="s">
        <v>87</v>
      </c>
    </row>
    <row r="19" spans="1:12" x14ac:dyDescent="0.25">
      <c r="A19" s="11" t="s">
        <v>86</v>
      </c>
      <c r="B19" s="5" t="s">
        <v>85</v>
      </c>
      <c r="C19" s="15">
        <v>100000</v>
      </c>
      <c r="D19" s="15">
        <v>50000</v>
      </c>
      <c r="E19" s="12">
        <v>0.5</v>
      </c>
      <c r="F19" s="12">
        <v>0.5</v>
      </c>
    </row>
    <row r="20" spans="1:12" x14ac:dyDescent="0.25">
      <c r="A20" s="11" t="s">
        <v>84</v>
      </c>
      <c r="B20" s="5" t="s">
        <v>83</v>
      </c>
      <c r="C20" s="15">
        <v>75000</v>
      </c>
      <c r="D20" s="15">
        <v>37500</v>
      </c>
      <c r="E20" s="12">
        <v>0.6</v>
      </c>
      <c r="F20" s="12">
        <v>0.4</v>
      </c>
    </row>
    <row r="21" spans="1:12" x14ac:dyDescent="0.25">
      <c r="A21" s="11" t="s">
        <v>82</v>
      </c>
      <c r="B21" s="5" t="s">
        <v>81</v>
      </c>
      <c r="C21" s="15">
        <v>50000</v>
      </c>
      <c r="D21" s="15">
        <v>25000</v>
      </c>
      <c r="E21" s="12">
        <v>0.55000000000000004</v>
      </c>
      <c r="F21" s="12">
        <v>0.45</v>
      </c>
    </row>
    <row r="23" spans="1:12" x14ac:dyDescent="0.25">
      <c r="A23" s="101" t="s">
        <v>80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3"/>
    </row>
    <row r="24" spans="1:12" x14ac:dyDescent="0.25">
      <c r="A24" s="113" t="s">
        <v>79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5"/>
    </row>
    <row r="25" spans="1:12" x14ac:dyDescent="0.25">
      <c r="A25" s="113" t="s">
        <v>78</v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5"/>
    </row>
    <row r="26" spans="1:12" x14ac:dyDescent="0.25">
      <c r="A26" s="113" t="s">
        <v>77</v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5"/>
    </row>
    <row r="27" spans="1:12" x14ac:dyDescent="0.25">
      <c r="A27" s="113" t="s">
        <v>76</v>
      </c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5"/>
    </row>
    <row r="28" spans="1:12" x14ac:dyDescent="0.25">
      <c r="A28" s="113" t="s">
        <v>75</v>
      </c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5"/>
    </row>
    <row r="29" spans="1:12" x14ac:dyDescent="0.25">
      <c r="A29" s="113" t="s">
        <v>74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5"/>
    </row>
    <row r="30" spans="1:12" x14ac:dyDescent="0.25">
      <c r="A30" s="119" t="s">
        <v>73</v>
      </c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1"/>
    </row>
  </sheetData>
  <mergeCells count="31">
    <mergeCell ref="A30:L30"/>
    <mergeCell ref="A1:L1"/>
    <mergeCell ref="A17:A18"/>
    <mergeCell ref="B17:B18"/>
    <mergeCell ref="I12:J12"/>
    <mergeCell ref="I13:J13"/>
    <mergeCell ref="I14:J14"/>
    <mergeCell ref="I15:J15"/>
    <mergeCell ref="K3:L3"/>
    <mergeCell ref="F3:F4"/>
    <mergeCell ref="A12:C12"/>
    <mergeCell ref="A13:C13"/>
    <mergeCell ref="A14:C14"/>
    <mergeCell ref="D3:D4"/>
    <mergeCell ref="C17:C18"/>
    <mergeCell ref="D17:D18"/>
    <mergeCell ref="G3:G4"/>
    <mergeCell ref="H3:H4"/>
    <mergeCell ref="I3:J3"/>
    <mergeCell ref="A28:L28"/>
    <mergeCell ref="A29:L29"/>
    <mergeCell ref="E17:F17"/>
    <mergeCell ref="A3:A4"/>
    <mergeCell ref="B3:B4"/>
    <mergeCell ref="C3:C4"/>
    <mergeCell ref="E3:E4"/>
    <mergeCell ref="A23:L23"/>
    <mergeCell ref="A24:L24"/>
    <mergeCell ref="A25:L25"/>
    <mergeCell ref="A26:L26"/>
    <mergeCell ref="A27:L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964B-DDF0-4B3A-BA6F-5585DE722880}">
  <dimension ref="A1:K31"/>
  <sheetViews>
    <sheetView topLeftCell="D1" zoomScale="75" zoomScaleNormal="110" workbookViewId="0">
      <selection activeCell="K4" sqref="K4"/>
    </sheetView>
  </sheetViews>
  <sheetFormatPr defaultRowHeight="15" x14ac:dyDescent="0.25"/>
  <cols>
    <col min="1" max="1" width="6.28515625" customWidth="1"/>
    <col min="2" max="2" width="18.5703125" bestFit="1" customWidth="1"/>
    <col min="3" max="4" width="14.5703125" customWidth="1"/>
    <col min="5" max="5" width="18.5703125" bestFit="1" customWidth="1"/>
    <col min="6" max="6" width="13.28515625" customWidth="1"/>
    <col min="7" max="7" width="11.7109375" customWidth="1"/>
    <col min="8" max="8" width="15" customWidth="1"/>
    <col min="9" max="11" width="13.28515625" customWidth="1"/>
  </cols>
  <sheetData>
    <row r="1" spans="1:11" ht="16.5" thickBot="1" x14ac:dyDescent="0.3">
      <c r="A1" s="128" t="s">
        <v>170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15.75" thickTop="1" x14ac:dyDescent="0.25"/>
    <row r="3" spans="1:11" ht="30.75" thickBot="1" x14ac:dyDescent="0.3">
      <c r="A3" s="27" t="s">
        <v>113</v>
      </c>
      <c r="B3" s="27" t="s">
        <v>169</v>
      </c>
      <c r="C3" s="34" t="s">
        <v>168</v>
      </c>
      <c r="D3" s="34" t="s">
        <v>167</v>
      </c>
      <c r="E3" s="27" t="s">
        <v>166</v>
      </c>
      <c r="F3" s="27" t="s">
        <v>22</v>
      </c>
      <c r="G3" s="34" t="s">
        <v>165</v>
      </c>
      <c r="H3" s="27" t="s">
        <v>164</v>
      </c>
      <c r="I3" s="34" t="s">
        <v>163</v>
      </c>
      <c r="J3" s="27" t="s">
        <v>144</v>
      </c>
      <c r="K3" s="27" t="s">
        <v>162</v>
      </c>
    </row>
    <row r="4" spans="1:11" ht="15.75" thickTop="1" x14ac:dyDescent="0.25">
      <c r="A4" s="26">
        <v>1</v>
      </c>
      <c r="B4" s="26" t="s">
        <v>161</v>
      </c>
      <c r="C4" s="24" t="s">
        <v>160</v>
      </c>
      <c r="D4" s="33">
        <v>45170</v>
      </c>
      <c r="E4" s="32" t="str">
        <f>VLOOKUP(LEFT(B4,2),$A$15:$B$18,2,0)</f>
        <v>Jakarta - Yogyakarta</v>
      </c>
      <c r="F4" s="32" t="str">
        <f>VLOOKUP(MID(B4,5,2),$G$14:$H$16,2,0)</f>
        <v>Eksekutif</v>
      </c>
      <c r="G4" s="25">
        <f>VLOOKUP(E4,B$15:E$18,MATCH(F4,$C$14:$E$14,0)+1,0)</f>
        <v>2500000</v>
      </c>
      <c r="H4" s="32" t="str">
        <f>HLOOKUP(MID(B4,3,2),$B$21:$D$23,2,0)</f>
        <v>Paket OK</v>
      </c>
      <c r="I4" s="25">
        <f>HLOOKUP(H4,$B$22:$D$23,2,0)</f>
        <v>35000</v>
      </c>
      <c r="J4" s="57">
        <f>IF(_xlfn.DAYS(DATE(2023,9,1),D4)&gt;0,VLOOKUP(F4,$H$14:$I$16,2,0)*G4,0)</f>
        <v>0</v>
      </c>
      <c r="K4" s="25">
        <f>G4+I4-J4</f>
        <v>2535000</v>
      </c>
    </row>
    <row r="5" spans="1:11" x14ac:dyDescent="0.25">
      <c r="A5" s="11">
        <v>2</v>
      </c>
      <c r="B5" s="11" t="s">
        <v>159</v>
      </c>
      <c r="C5" s="4" t="s">
        <v>158</v>
      </c>
      <c r="D5" s="3">
        <v>45153</v>
      </c>
      <c r="E5" s="32" t="str">
        <f t="shared" ref="E5:E10" si="0">VLOOKUP(LEFT(B5,2),$A$15:$B$18,2,0)</f>
        <v>Jakarta - Surabaya</v>
      </c>
      <c r="F5" s="32" t="str">
        <f t="shared" ref="F5:F10" si="1">VLOOKUP(MID(B5,5,2),$G$14:$H$16,2,0)</f>
        <v>Eksekutif</v>
      </c>
      <c r="G5" s="25">
        <f t="shared" ref="G5:G10" si="2">VLOOKUP(E5,B$15:E$18,MATCH(F5,$C$14:$E$14,0)+1,0)</f>
        <v>3000000</v>
      </c>
      <c r="H5" s="32" t="str">
        <f t="shared" ref="H5:H10" si="3">HLOOKUP(MID(B5,3,2),$B$21:$D$23,2,0)</f>
        <v>Paket YES</v>
      </c>
      <c r="I5" s="25">
        <f t="shared" ref="I5:I10" si="4">HLOOKUP(H5,$B$22:$D$23,2,0)</f>
        <v>50000</v>
      </c>
      <c r="J5" s="57">
        <f t="shared" ref="J5:J10" si="5">IF(_xlfn.DAYS(DATE(2023,9,1),D5)&gt;0,VLOOKUP(F5,$H$14:$I$16,2,0)*G5,0)</f>
        <v>150000</v>
      </c>
      <c r="K5" s="25">
        <f t="shared" ref="K5:K10" si="6">G5+I5-J5</f>
        <v>2900000</v>
      </c>
    </row>
    <row r="6" spans="1:11" x14ac:dyDescent="0.25">
      <c r="A6" s="11">
        <v>3</v>
      </c>
      <c r="B6" s="11" t="s">
        <v>157</v>
      </c>
      <c r="C6" s="4" t="s">
        <v>156</v>
      </c>
      <c r="D6" s="3">
        <v>45169</v>
      </c>
      <c r="E6" s="32" t="str">
        <f t="shared" si="0"/>
        <v>Jakarta - Bandung</v>
      </c>
      <c r="F6" s="32" t="str">
        <f t="shared" si="1"/>
        <v>Bisnis</v>
      </c>
      <c r="G6" s="25">
        <f t="shared" si="2"/>
        <v>750000</v>
      </c>
      <c r="H6" s="32" t="str">
        <f t="shared" si="3"/>
        <v>Paket OK</v>
      </c>
      <c r="I6" s="25">
        <f t="shared" si="4"/>
        <v>35000</v>
      </c>
      <c r="J6" s="57">
        <f t="shared" si="5"/>
        <v>30000</v>
      </c>
      <c r="K6" s="25">
        <f t="shared" si="6"/>
        <v>755000</v>
      </c>
    </row>
    <row r="7" spans="1:11" x14ac:dyDescent="0.25">
      <c r="A7" s="11">
        <v>4</v>
      </c>
      <c r="B7" s="11" t="s">
        <v>155</v>
      </c>
      <c r="C7" s="4" t="s">
        <v>154</v>
      </c>
      <c r="D7" s="3">
        <v>45174</v>
      </c>
      <c r="E7" s="32" t="str">
        <f t="shared" si="0"/>
        <v>Jakarta - Surabaya</v>
      </c>
      <c r="F7" s="32" t="str">
        <f t="shared" si="1"/>
        <v>Ekonomi</v>
      </c>
      <c r="G7" s="25">
        <f t="shared" si="2"/>
        <v>2000000</v>
      </c>
      <c r="H7" s="32" t="str">
        <f t="shared" si="3"/>
        <v>Paket HORE</v>
      </c>
      <c r="I7" s="25">
        <f t="shared" si="4"/>
        <v>75000</v>
      </c>
      <c r="J7" s="57">
        <f t="shared" si="5"/>
        <v>0</v>
      </c>
      <c r="K7" s="25">
        <f t="shared" si="6"/>
        <v>2075000</v>
      </c>
    </row>
    <row r="8" spans="1:11" x14ac:dyDescent="0.25">
      <c r="A8" s="11">
        <v>5</v>
      </c>
      <c r="B8" s="11" t="s">
        <v>153</v>
      </c>
      <c r="C8" s="4" t="s">
        <v>152</v>
      </c>
      <c r="D8" s="3">
        <v>45161</v>
      </c>
      <c r="E8" s="32" t="str">
        <f t="shared" si="0"/>
        <v>Jakarta - Yogyakarta</v>
      </c>
      <c r="F8" s="32" t="str">
        <f t="shared" si="1"/>
        <v>Bisnis</v>
      </c>
      <c r="G8" s="25">
        <f t="shared" si="2"/>
        <v>2000000</v>
      </c>
      <c r="H8" s="32" t="str">
        <f t="shared" si="3"/>
        <v>Paket YES</v>
      </c>
      <c r="I8" s="25">
        <f t="shared" si="4"/>
        <v>50000</v>
      </c>
      <c r="J8" s="57">
        <f t="shared" si="5"/>
        <v>80000</v>
      </c>
      <c r="K8" s="25">
        <f t="shared" si="6"/>
        <v>1970000</v>
      </c>
    </row>
    <row r="9" spans="1:11" x14ac:dyDescent="0.25">
      <c r="A9" s="11">
        <v>6</v>
      </c>
      <c r="B9" s="11" t="s">
        <v>151</v>
      </c>
      <c r="C9" s="4" t="s">
        <v>150</v>
      </c>
      <c r="D9" s="3">
        <v>45180</v>
      </c>
      <c r="E9" s="32" t="str">
        <f t="shared" si="0"/>
        <v>Jakarta - Bandung</v>
      </c>
      <c r="F9" s="32" t="str">
        <f t="shared" si="1"/>
        <v>Ekonomi</v>
      </c>
      <c r="G9" s="25">
        <f t="shared" si="2"/>
        <v>500000</v>
      </c>
      <c r="H9" s="32" t="str">
        <f t="shared" si="3"/>
        <v>Paket HORE</v>
      </c>
      <c r="I9" s="25">
        <f t="shared" si="4"/>
        <v>75000</v>
      </c>
      <c r="J9" s="57">
        <f t="shared" si="5"/>
        <v>0</v>
      </c>
      <c r="K9" s="25">
        <f t="shared" si="6"/>
        <v>575000</v>
      </c>
    </row>
    <row r="10" spans="1:11" x14ac:dyDescent="0.25">
      <c r="A10" s="11">
        <v>7</v>
      </c>
      <c r="B10" s="11" t="s">
        <v>149</v>
      </c>
      <c r="C10" s="4" t="s">
        <v>148</v>
      </c>
      <c r="D10" s="3">
        <v>45168</v>
      </c>
      <c r="E10" s="32" t="str">
        <f t="shared" si="0"/>
        <v>Jakarta - Surabaya</v>
      </c>
      <c r="F10" s="32" t="str">
        <f t="shared" si="1"/>
        <v>Bisnis</v>
      </c>
      <c r="G10" s="25">
        <f t="shared" si="2"/>
        <v>2500000</v>
      </c>
      <c r="H10" s="32" t="str">
        <f t="shared" si="3"/>
        <v>Paket YES</v>
      </c>
      <c r="I10" s="25">
        <f t="shared" si="4"/>
        <v>50000</v>
      </c>
      <c r="J10" s="57">
        <f t="shared" si="5"/>
        <v>100000</v>
      </c>
      <c r="K10" s="25">
        <f t="shared" si="6"/>
        <v>2450000</v>
      </c>
    </row>
    <row r="12" spans="1:11" x14ac:dyDescent="0.25">
      <c r="A12" s="31" t="s">
        <v>147</v>
      </c>
      <c r="G12" s="8" t="s">
        <v>146</v>
      </c>
    </row>
    <row r="13" spans="1:11" x14ac:dyDescent="0.25">
      <c r="A13" s="133" t="s">
        <v>130</v>
      </c>
      <c r="B13" s="133" t="s">
        <v>145</v>
      </c>
      <c r="C13" s="116" t="s">
        <v>5</v>
      </c>
      <c r="D13" s="132"/>
      <c r="E13" s="117"/>
      <c r="G13" s="16" t="s">
        <v>93</v>
      </c>
      <c r="H13" s="10" t="s">
        <v>22</v>
      </c>
      <c r="I13" s="10" t="s">
        <v>144</v>
      </c>
    </row>
    <row r="14" spans="1:11" x14ac:dyDescent="0.25">
      <c r="A14" s="134"/>
      <c r="B14" s="134"/>
      <c r="C14" s="16" t="s">
        <v>28</v>
      </c>
      <c r="D14" s="16" t="s">
        <v>29</v>
      </c>
      <c r="E14" s="16" t="s">
        <v>136</v>
      </c>
      <c r="G14" s="11" t="s">
        <v>143</v>
      </c>
      <c r="H14" s="12" t="s">
        <v>28</v>
      </c>
      <c r="I14" s="12">
        <v>0.03</v>
      </c>
      <c r="K14" s="56">
        <f>IF(_xlfn.DAYS(DATE(2023,9,1),D4)&gt;=0,VLOOKUP(F4,$H$14:$I$16,2,0)*G4,0)</f>
        <v>125000</v>
      </c>
    </row>
    <row r="15" spans="1:11" x14ac:dyDescent="0.25">
      <c r="A15" s="30" t="s">
        <v>142</v>
      </c>
      <c r="B15" s="5" t="s">
        <v>141</v>
      </c>
      <c r="C15" s="23">
        <v>2000000</v>
      </c>
      <c r="D15" s="23">
        <v>2500000</v>
      </c>
      <c r="E15" s="23">
        <v>3000000</v>
      </c>
      <c r="G15" s="11" t="s">
        <v>140</v>
      </c>
      <c r="H15" s="12" t="s">
        <v>29</v>
      </c>
      <c r="I15" s="12">
        <v>0.04</v>
      </c>
    </row>
    <row r="16" spans="1:11" x14ac:dyDescent="0.25">
      <c r="A16" s="30" t="s">
        <v>139</v>
      </c>
      <c r="B16" s="5" t="s">
        <v>138</v>
      </c>
      <c r="C16" s="23">
        <v>1500000</v>
      </c>
      <c r="D16" s="23">
        <v>2000000</v>
      </c>
      <c r="E16" s="23">
        <v>2500000</v>
      </c>
      <c r="G16" s="11" t="s">
        <v>137</v>
      </c>
      <c r="H16" s="12" t="s">
        <v>136</v>
      </c>
      <c r="I16" s="12">
        <v>0.05</v>
      </c>
      <c r="J16" s="56">
        <f>G4+I4-K14</f>
        <v>2410000</v>
      </c>
    </row>
    <row r="17" spans="1:11" x14ac:dyDescent="0.25">
      <c r="A17" s="30" t="s">
        <v>135</v>
      </c>
      <c r="B17" s="5" t="s">
        <v>134</v>
      </c>
      <c r="C17" s="23">
        <v>500000</v>
      </c>
      <c r="D17" s="23">
        <v>750000</v>
      </c>
      <c r="E17" s="23">
        <v>1000000</v>
      </c>
      <c r="K17">
        <f>G4-G4*I16+I4</f>
        <v>2410000</v>
      </c>
    </row>
    <row r="18" spans="1:11" x14ac:dyDescent="0.25">
      <c r="A18" s="30" t="s">
        <v>133</v>
      </c>
      <c r="B18" s="5" t="s">
        <v>132</v>
      </c>
      <c r="C18" s="23">
        <v>2500000</v>
      </c>
      <c r="D18" s="23">
        <v>3000000</v>
      </c>
      <c r="E18" s="23">
        <v>3500000</v>
      </c>
    </row>
    <row r="20" spans="1:11" x14ac:dyDescent="0.25">
      <c r="A20" s="8" t="s">
        <v>131</v>
      </c>
    </row>
    <row r="21" spans="1:11" x14ac:dyDescent="0.25">
      <c r="A21" s="29" t="s">
        <v>130</v>
      </c>
      <c r="B21" s="4" t="s">
        <v>129</v>
      </c>
      <c r="C21" s="4" t="s">
        <v>128</v>
      </c>
      <c r="D21" s="4" t="s">
        <v>127</v>
      </c>
    </row>
    <row r="22" spans="1:11" x14ac:dyDescent="0.25">
      <c r="A22" s="29" t="s">
        <v>126</v>
      </c>
      <c r="B22" s="4" t="s">
        <v>125</v>
      </c>
      <c r="C22" s="4" t="s">
        <v>124</v>
      </c>
      <c r="D22" s="4" t="s">
        <v>123</v>
      </c>
    </row>
    <row r="23" spans="1:11" x14ac:dyDescent="0.25">
      <c r="A23" s="29" t="s">
        <v>122</v>
      </c>
      <c r="B23" s="28">
        <v>35000</v>
      </c>
      <c r="C23" s="28">
        <v>50000</v>
      </c>
      <c r="D23" s="28">
        <v>75000</v>
      </c>
    </row>
    <row r="25" spans="1:11" x14ac:dyDescent="0.25">
      <c r="A25" s="101" t="s">
        <v>121</v>
      </c>
      <c r="B25" s="102"/>
      <c r="C25" s="102"/>
      <c r="D25" s="102"/>
      <c r="E25" s="102"/>
      <c r="F25" s="102"/>
      <c r="G25" s="102"/>
      <c r="H25" s="103"/>
    </row>
    <row r="26" spans="1:11" x14ac:dyDescent="0.25">
      <c r="A26" s="129" t="s">
        <v>120</v>
      </c>
      <c r="B26" s="130"/>
      <c r="C26" s="130"/>
      <c r="D26" s="130"/>
      <c r="E26" s="130"/>
      <c r="F26" s="130"/>
      <c r="G26" s="130"/>
      <c r="H26" s="131"/>
    </row>
    <row r="27" spans="1:11" x14ac:dyDescent="0.25">
      <c r="A27" s="113" t="s">
        <v>119</v>
      </c>
      <c r="B27" s="114"/>
      <c r="C27" s="114"/>
      <c r="D27" s="114"/>
      <c r="E27" s="114"/>
      <c r="F27" s="114"/>
      <c r="G27" s="114"/>
      <c r="H27" s="115"/>
    </row>
    <row r="28" spans="1:11" x14ac:dyDescent="0.25">
      <c r="A28" s="113" t="s">
        <v>118</v>
      </c>
      <c r="B28" s="114"/>
      <c r="C28" s="114"/>
      <c r="D28" s="114"/>
      <c r="E28" s="114"/>
      <c r="F28" s="114"/>
      <c r="G28" s="114"/>
      <c r="H28" s="115"/>
    </row>
    <row r="29" spans="1:11" x14ac:dyDescent="0.25">
      <c r="A29" s="113" t="s">
        <v>117</v>
      </c>
      <c r="B29" s="114"/>
      <c r="C29" s="114"/>
      <c r="D29" s="114"/>
      <c r="E29" s="114"/>
      <c r="F29" s="114"/>
      <c r="G29" s="114"/>
      <c r="H29" s="115"/>
    </row>
    <row r="30" spans="1:11" x14ac:dyDescent="0.25">
      <c r="A30" s="113" t="s">
        <v>116</v>
      </c>
      <c r="B30" s="114"/>
      <c r="C30" s="114"/>
      <c r="D30" s="114"/>
      <c r="E30" s="114"/>
      <c r="F30" s="114"/>
      <c r="G30" s="114"/>
      <c r="H30" s="115"/>
    </row>
    <row r="31" spans="1:11" x14ac:dyDescent="0.25">
      <c r="A31" s="119" t="s">
        <v>115</v>
      </c>
      <c r="B31" s="120"/>
      <c r="C31" s="120"/>
      <c r="D31" s="120"/>
      <c r="E31" s="120"/>
      <c r="F31" s="120"/>
      <c r="G31" s="120"/>
      <c r="H31" s="121"/>
    </row>
  </sheetData>
  <mergeCells count="11">
    <mergeCell ref="A25:H25"/>
    <mergeCell ref="A31:H31"/>
    <mergeCell ref="A1:K1"/>
    <mergeCell ref="A26:H26"/>
    <mergeCell ref="A27:H27"/>
    <mergeCell ref="A28:H28"/>
    <mergeCell ref="A29:H29"/>
    <mergeCell ref="A30:H30"/>
    <mergeCell ref="C13:E13"/>
    <mergeCell ref="B13:B14"/>
    <mergeCell ref="A13:A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F405-3ADB-42F5-9C21-8B9A578EA1B0}">
  <dimension ref="A1:L24"/>
  <sheetViews>
    <sheetView zoomScale="64" zoomScaleNormal="160" workbookViewId="0">
      <selection activeCell="F7" sqref="F7"/>
    </sheetView>
  </sheetViews>
  <sheetFormatPr defaultRowHeight="12.75" x14ac:dyDescent="0.2"/>
  <cols>
    <col min="1" max="1" width="7.42578125" style="35" customWidth="1"/>
    <col min="2" max="2" width="10.42578125" style="35" customWidth="1"/>
    <col min="3" max="3" width="12" style="35" customWidth="1"/>
    <col min="4" max="4" width="8.85546875" style="35" customWidth="1"/>
    <col min="5" max="7" width="14.5703125" style="35" customWidth="1"/>
    <col min="8" max="8" width="5.5703125" style="35" customWidth="1"/>
    <col min="9" max="9" width="6.42578125" style="35" customWidth="1"/>
    <col min="10" max="12" width="13.140625" style="35" customWidth="1"/>
    <col min="13" max="16384" width="9.140625" style="35"/>
  </cols>
  <sheetData>
    <row r="1" spans="1:12" ht="21" x14ac:dyDescent="0.35">
      <c r="A1" s="138" t="s">
        <v>203</v>
      </c>
      <c r="B1" s="138"/>
      <c r="C1" s="138"/>
      <c r="D1" s="138"/>
      <c r="E1" s="138"/>
      <c r="F1" s="138"/>
      <c r="G1" s="138"/>
    </row>
    <row r="2" spans="1:12" ht="13.5" thickBot="1" x14ac:dyDescent="0.25">
      <c r="A2" s="139" t="s">
        <v>202</v>
      </c>
      <c r="B2" s="139"/>
      <c r="C2" s="139"/>
      <c r="D2" s="139"/>
      <c r="E2" s="139"/>
      <c r="F2" s="139"/>
      <c r="G2" s="139"/>
    </row>
    <row r="3" spans="1:12" ht="13.5" thickTop="1" x14ac:dyDescent="0.2">
      <c r="A3" s="52"/>
      <c r="B3" s="52"/>
      <c r="C3" s="52"/>
      <c r="D3" s="52"/>
      <c r="E3" s="52"/>
      <c r="F3" s="52"/>
      <c r="G3" s="52"/>
      <c r="I3" s="43" t="s">
        <v>147</v>
      </c>
      <c r="J3" s="43"/>
      <c r="K3" s="43"/>
    </row>
    <row r="4" spans="1:12" ht="15" customHeight="1" x14ac:dyDescent="0.2">
      <c r="A4" s="140" t="s">
        <v>201</v>
      </c>
      <c r="B4" s="140" t="s">
        <v>200</v>
      </c>
      <c r="C4" s="140" t="s">
        <v>199</v>
      </c>
      <c r="D4" s="140" t="s">
        <v>198</v>
      </c>
      <c r="E4" s="140" t="s">
        <v>197</v>
      </c>
      <c r="F4" s="140" t="s">
        <v>144</v>
      </c>
      <c r="G4" s="140" t="s">
        <v>196</v>
      </c>
      <c r="I4" s="145" t="s">
        <v>195</v>
      </c>
      <c r="J4" s="142" t="s">
        <v>194</v>
      </c>
      <c r="K4" s="143"/>
      <c r="L4" s="144"/>
    </row>
    <row r="5" spans="1:12" ht="15" customHeight="1" thickBot="1" x14ac:dyDescent="0.25">
      <c r="A5" s="141"/>
      <c r="B5" s="141"/>
      <c r="C5" s="141"/>
      <c r="D5" s="141"/>
      <c r="E5" s="141"/>
      <c r="F5" s="141"/>
      <c r="G5" s="141"/>
      <c r="I5" s="146"/>
      <c r="J5" s="40" t="s">
        <v>193</v>
      </c>
      <c r="K5" s="40" t="s">
        <v>192</v>
      </c>
      <c r="L5" s="40" t="s">
        <v>191</v>
      </c>
    </row>
    <row r="6" spans="1:12" ht="13.5" thickTop="1" x14ac:dyDescent="0.2">
      <c r="A6" s="50" t="s">
        <v>190</v>
      </c>
      <c r="B6" s="51" t="s">
        <v>189</v>
      </c>
      <c r="C6" s="45" cm="1">
        <f t="array" ref="C6">VLOOKUP(MID(A6,2,1),$I$6:$L$8,_xlfn.IFS(LEFT(A6,1)="S",2,LEFT(A6,1)="M",3,LEFT(A6,1)="B",4),FALSE)</f>
        <v>500000</v>
      </c>
      <c r="D6" s="50">
        <v>2</v>
      </c>
      <c r="E6" s="44">
        <f>D6*C6</f>
        <v>1000000</v>
      </c>
      <c r="F6" s="58">
        <f>IF(AND(LEFT(A6,1)&lt;&gt;"B",D6&gt;=3),HLOOKUP(LEFT(A6,1),$J$12:$K$13,2,FALSE),0)*E6</f>
        <v>0</v>
      </c>
      <c r="G6" s="44">
        <f>E6-F6</f>
        <v>1000000</v>
      </c>
      <c r="I6" s="49" t="s">
        <v>35</v>
      </c>
      <c r="J6" s="48">
        <v>500000</v>
      </c>
      <c r="K6" s="48">
        <v>650000</v>
      </c>
      <c r="L6" s="48">
        <v>400000</v>
      </c>
    </row>
    <row r="7" spans="1:12" x14ac:dyDescent="0.2">
      <c r="A7" s="42" t="s">
        <v>188</v>
      </c>
      <c r="B7" s="35" t="s">
        <v>187</v>
      </c>
      <c r="C7" s="45" cm="1">
        <f t="array" ref="C7">VLOOKUP(MID(A7,2,1),$I$6:$L$8,_xlfn.IFS(LEFT(A7,1)="S",2,LEFT(A7,1)="M",3,LEFT(A7,1)="B",4),FALSE)</f>
        <v>500000</v>
      </c>
      <c r="D7" s="42">
        <v>4</v>
      </c>
      <c r="E7" s="44">
        <f t="shared" ref="E7:E10" si="0">D7*C7</f>
        <v>2000000</v>
      </c>
      <c r="F7" s="58">
        <f t="shared" ref="F7:F10" si="1">IF(AND(LEFT(A7,1)&lt;&gt;"B",D7&gt;=3),HLOOKUP(LEFT(A7,1),$J$12:$K$13,2,FALSE),0)*E7</f>
        <v>100000</v>
      </c>
      <c r="G7" s="44">
        <f t="shared" ref="G7:G10" si="2">E7-F7</f>
        <v>1900000</v>
      </c>
      <c r="I7" s="49" t="s">
        <v>186</v>
      </c>
      <c r="J7" s="48">
        <v>400000</v>
      </c>
      <c r="K7" s="48">
        <v>500000</v>
      </c>
      <c r="L7" s="48">
        <v>300000</v>
      </c>
    </row>
    <row r="8" spans="1:12" x14ac:dyDescent="0.2">
      <c r="A8" s="42" t="s">
        <v>185</v>
      </c>
      <c r="B8" s="46" t="s">
        <v>184</v>
      </c>
      <c r="C8" s="45" cm="1">
        <f t="array" ref="C8">VLOOKUP(MID(A8,2,1),$I$6:$L$8,_xlfn.IFS(LEFT(A8,1)="S",2,LEFT(A8,1)="M",3,LEFT(A8,1)="B",4),FALSE)</f>
        <v>400000</v>
      </c>
      <c r="D8" s="42">
        <v>3</v>
      </c>
      <c r="E8" s="44">
        <f t="shared" si="0"/>
        <v>1200000</v>
      </c>
      <c r="F8" s="58">
        <f t="shared" si="1"/>
        <v>120000</v>
      </c>
      <c r="G8" s="44">
        <f t="shared" si="2"/>
        <v>1080000</v>
      </c>
      <c r="I8" s="49" t="s">
        <v>183</v>
      </c>
      <c r="J8" s="48">
        <v>300000</v>
      </c>
      <c r="K8" s="48">
        <v>200000</v>
      </c>
      <c r="L8" s="48">
        <v>200000</v>
      </c>
    </row>
    <row r="9" spans="1:12" x14ac:dyDescent="0.2">
      <c r="A9" s="42" t="s">
        <v>182</v>
      </c>
      <c r="B9" s="46" t="s">
        <v>181</v>
      </c>
      <c r="C9" s="45" cm="1">
        <f t="array" ref="C9">VLOOKUP(MID(A9,2,1),$I$6:$L$8,_xlfn.IFS(LEFT(A9,1)="S",2,LEFT(A9,1)="M",3,LEFT(A9,1)="B",4),FALSE)</f>
        <v>200000</v>
      </c>
      <c r="D9" s="42">
        <v>1</v>
      </c>
      <c r="E9" s="44">
        <f t="shared" si="0"/>
        <v>200000</v>
      </c>
      <c r="F9" s="58">
        <f t="shared" si="1"/>
        <v>0</v>
      </c>
      <c r="G9" s="44">
        <f t="shared" si="2"/>
        <v>200000</v>
      </c>
    </row>
    <row r="10" spans="1:12" x14ac:dyDescent="0.2">
      <c r="A10" s="47" t="s">
        <v>180</v>
      </c>
      <c r="B10" s="46" t="s">
        <v>179</v>
      </c>
      <c r="C10" s="45" cm="1">
        <f t="array" ref="C10">VLOOKUP(MID(A10,2,1),$I$6:$L$8,_xlfn.IFS(LEFT(A10,1)="S",2,LEFT(A10,1)="M",3,LEFT(A10,1)="B",4),FALSE)</f>
        <v>200000</v>
      </c>
      <c r="D10" s="42">
        <v>5</v>
      </c>
      <c r="E10" s="44">
        <f t="shared" si="0"/>
        <v>1000000</v>
      </c>
      <c r="F10" s="58">
        <f t="shared" si="1"/>
        <v>0</v>
      </c>
      <c r="G10" s="44">
        <f t="shared" si="2"/>
        <v>1000000</v>
      </c>
    </row>
    <row r="11" spans="1:12" x14ac:dyDescent="0.2">
      <c r="A11" s="142" t="s">
        <v>50</v>
      </c>
      <c r="B11" s="143"/>
      <c r="C11" s="143"/>
      <c r="D11" s="143"/>
      <c r="E11" s="144"/>
      <c r="F11" s="53"/>
      <c r="G11" s="44">
        <f>SUM(G6:G10)</f>
        <v>5180000</v>
      </c>
      <c r="I11" s="43" t="s">
        <v>178</v>
      </c>
      <c r="J11" s="43"/>
      <c r="K11" s="43"/>
    </row>
    <row r="12" spans="1:12" x14ac:dyDescent="0.2">
      <c r="I12" s="40" t="s">
        <v>130</v>
      </c>
      <c r="J12" s="42" t="s">
        <v>177</v>
      </c>
      <c r="K12" s="42" t="s">
        <v>176</v>
      </c>
    </row>
    <row r="13" spans="1:12" ht="13.5" thickBot="1" x14ac:dyDescent="0.25">
      <c r="A13" s="41" t="s">
        <v>175</v>
      </c>
      <c r="I13" s="40" t="s">
        <v>6</v>
      </c>
      <c r="J13" s="39">
        <v>0.1</v>
      </c>
      <c r="K13" s="39">
        <v>0.05</v>
      </c>
    </row>
    <row r="14" spans="1:12" x14ac:dyDescent="0.2">
      <c r="A14" s="147" t="s">
        <v>174</v>
      </c>
      <c r="B14" s="148"/>
      <c r="C14" s="148"/>
      <c r="D14" s="148"/>
      <c r="E14" s="148"/>
      <c r="F14" s="148"/>
      <c r="G14" s="149"/>
    </row>
    <row r="15" spans="1:12" x14ac:dyDescent="0.2">
      <c r="A15" s="150" t="s">
        <v>173</v>
      </c>
      <c r="B15" s="151"/>
      <c r="C15" s="151"/>
      <c r="D15" s="151"/>
      <c r="E15" s="151"/>
      <c r="F15" s="151"/>
      <c r="G15" s="152"/>
    </row>
    <row r="16" spans="1:12" x14ac:dyDescent="0.2">
      <c r="A16" s="150" t="s">
        <v>172</v>
      </c>
      <c r="B16" s="151"/>
      <c r="C16" s="151"/>
      <c r="D16" s="151"/>
      <c r="E16" s="151"/>
      <c r="F16" s="151"/>
      <c r="G16" s="152"/>
      <c r="I16" s="35" t="str">
        <f>LEFT(J5,1)</f>
        <v>S</v>
      </c>
      <c r="J16" s="35" t="str">
        <f t="shared" ref="J16:K16" si="3">LEFT(K5,1)</f>
        <v>M</v>
      </c>
      <c r="K16" s="35" t="str">
        <f t="shared" si="3"/>
        <v>B</v>
      </c>
    </row>
    <row r="17" spans="1:12" ht="13.5" thickBot="1" x14ac:dyDescent="0.25">
      <c r="A17" s="135" t="s">
        <v>171</v>
      </c>
      <c r="B17" s="136"/>
      <c r="C17" s="136"/>
      <c r="D17" s="136"/>
      <c r="E17" s="136"/>
      <c r="F17" s="136"/>
      <c r="G17" s="137"/>
    </row>
    <row r="19" spans="1:12" x14ac:dyDescent="0.2">
      <c r="A19" s="38"/>
      <c r="B19" s="37"/>
      <c r="C19" s="37"/>
    </row>
    <row r="20" spans="1:12" x14ac:dyDescent="0.2">
      <c r="D20" s="36"/>
    </row>
    <row r="21" spans="1:12" x14ac:dyDescent="0.2">
      <c r="J21" s="35">
        <f>VLOOKUP(MID(A6,2,1),$I$6:$L$8,CHOOSE(MATCH(LEFT(A6,1),{"S";"M";"B"},0),2,3,4),FALSE)</f>
        <v>500000</v>
      </c>
      <c r="K21" s="35" t="s">
        <v>204</v>
      </c>
    </row>
    <row r="23" spans="1:12" x14ac:dyDescent="0.2">
      <c r="J23" s="35" t="str">
        <f>LEFT(A6,1)</f>
        <v>S</v>
      </c>
      <c r="K23" s="35">
        <f>MATCH(J23,{"S";"M";"B"},)</f>
        <v>1</v>
      </c>
      <c r="L23" s="35">
        <f>CHOOSE(K23,2,3,4)</f>
        <v>2</v>
      </c>
    </row>
    <row r="24" spans="1:12" x14ac:dyDescent="0.2">
      <c r="J24" s="35">
        <f>VLOOKUP(MID(A6,2,1),$I$6:$L$8,L23,FALSE)</f>
        <v>500000</v>
      </c>
    </row>
  </sheetData>
  <mergeCells count="16">
    <mergeCell ref="J4:L4"/>
    <mergeCell ref="I4:I5"/>
    <mergeCell ref="A14:G14"/>
    <mergeCell ref="A15:G15"/>
    <mergeCell ref="A16:G16"/>
    <mergeCell ref="A11:E11"/>
    <mergeCell ref="D4:D5"/>
    <mergeCell ref="E4:E5"/>
    <mergeCell ref="F4:F5"/>
    <mergeCell ref="G4:G5"/>
    <mergeCell ref="A17:G17"/>
    <mergeCell ref="A1:G1"/>
    <mergeCell ref="A2:G2"/>
    <mergeCell ref="A4:A5"/>
    <mergeCell ref="B4:B5"/>
    <mergeCell ref="C4:C5"/>
  </mergeCells>
  <pageMargins left="0.75" right="0.75" top="1" bottom="1" header="0.5" footer="0.5"/>
  <pageSetup paperSize="9" orientation="portrait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A5E0-3E73-46A5-A48A-E7B663B0F15A}">
  <dimension ref="A1:N29"/>
  <sheetViews>
    <sheetView zoomScale="70" zoomScaleNormal="62" zoomScaleSheetLayoutView="130" workbookViewId="0">
      <selection activeCell="H8" sqref="H8"/>
    </sheetView>
  </sheetViews>
  <sheetFormatPr defaultRowHeight="15" x14ac:dyDescent="0.25"/>
  <cols>
    <col min="1" max="1" width="5.85546875" style="59" bestFit="1" customWidth="1"/>
    <col min="2" max="2" width="23" style="59" bestFit="1" customWidth="1"/>
    <col min="3" max="3" width="15.5703125" style="59" bestFit="1" customWidth="1"/>
    <col min="4" max="4" width="14" style="59" bestFit="1" customWidth="1"/>
    <col min="5" max="5" width="15" style="59" customWidth="1"/>
    <col min="6" max="6" width="19.140625" style="59" bestFit="1" customWidth="1"/>
    <col min="7" max="7" width="40.140625" style="59" bestFit="1" customWidth="1"/>
    <col min="8" max="8" width="19.28515625" style="59" bestFit="1" customWidth="1"/>
    <col min="9" max="9" width="18.5703125" style="59" bestFit="1" customWidth="1"/>
    <col min="10" max="10" width="20.28515625" style="59" bestFit="1" customWidth="1"/>
    <col min="11" max="16384" width="9.140625" style="59"/>
  </cols>
  <sheetData>
    <row r="1" spans="1:14" x14ac:dyDescent="0.25">
      <c r="A1" s="157" t="s">
        <v>252</v>
      </c>
      <c r="B1" s="157"/>
      <c r="C1" s="157"/>
      <c r="D1" s="157"/>
      <c r="E1" s="157"/>
      <c r="F1" s="157"/>
      <c r="G1" s="157"/>
      <c r="H1" s="157"/>
      <c r="I1" s="157"/>
      <c r="J1" s="157"/>
    </row>
    <row r="2" spans="1:14" x14ac:dyDescent="0.25">
      <c r="A2" s="157" t="s">
        <v>251</v>
      </c>
      <c r="B2" s="157"/>
      <c r="C2" s="157"/>
      <c r="D2" s="157"/>
      <c r="E2" s="157"/>
      <c r="F2" s="157"/>
      <c r="G2" s="157"/>
      <c r="H2" s="157"/>
      <c r="I2" s="157"/>
      <c r="J2" s="157"/>
    </row>
    <row r="3" spans="1:14" ht="15.75" thickBot="1" x14ac:dyDescent="0.3">
      <c r="A3" s="158" t="s">
        <v>250</v>
      </c>
      <c r="B3" s="158"/>
      <c r="C3" s="158"/>
      <c r="D3" s="158"/>
      <c r="E3" s="158"/>
      <c r="F3" s="158"/>
      <c r="G3" s="158"/>
      <c r="H3" s="158"/>
      <c r="I3" s="158"/>
      <c r="J3" s="158"/>
    </row>
    <row r="4" spans="1:14" x14ac:dyDescent="0.25">
      <c r="A4" s="84"/>
      <c r="B4" s="84"/>
      <c r="C4" s="84"/>
      <c r="D4" s="84"/>
      <c r="E4" s="84"/>
      <c r="F4" s="84"/>
      <c r="G4" s="84"/>
      <c r="H4" s="84"/>
      <c r="I4" s="84"/>
      <c r="J4" s="84"/>
    </row>
    <row r="5" spans="1:14" s="2" customFormat="1" x14ac:dyDescent="0.25">
      <c r="A5" s="107" t="s">
        <v>249</v>
      </c>
      <c r="B5" s="107" t="s">
        <v>248</v>
      </c>
      <c r="C5" s="107" t="s">
        <v>247</v>
      </c>
      <c r="D5" s="107" t="s">
        <v>220</v>
      </c>
      <c r="E5" s="107" t="s">
        <v>218</v>
      </c>
      <c r="F5" s="111" t="s">
        <v>216</v>
      </c>
      <c r="G5" s="111" t="s">
        <v>214</v>
      </c>
      <c r="H5" s="111" t="s">
        <v>212</v>
      </c>
      <c r="I5" s="111" t="s">
        <v>210</v>
      </c>
      <c r="J5" s="111" t="s">
        <v>208</v>
      </c>
    </row>
    <row r="6" spans="1:14" s="2" customFormat="1" ht="15.75" thickBot="1" x14ac:dyDescent="0.3">
      <c r="A6" s="118"/>
      <c r="B6" s="118"/>
      <c r="C6" s="118"/>
      <c r="D6" s="118"/>
      <c r="E6" s="118"/>
      <c r="F6" s="112"/>
      <c r="G6" s="112"/>
      <c r="H6" s="112"/>
      <c r="I6" s="112"/>
      <c r="J6" s="112"/>
    </row>
    <row r="7" spans="1:14" ht="15.75" thickTop="1" x14ac:dyDescent="0.25">
      <c r="A7" s="73">
        <v>1</v>
      </c>
      <c r="B7" s="83" t="s">
        <v>246</v>
      </c>
      <c r="C7" s="73" t="s">
        <v>245</v>
      </c>
      <c r="D7" s="73" t="str">
        <f>VLOOKUP(LEFT(C7,2),$A$17:$B$20,2,FALSE)</f>
        <v>Direktur</v>
      </c>
      <c r="E7" s="73" t="str">
        <f>IF(MID(C7,4,1)="K","Kawin","Belum Kawin")</f>
        <v>Kawin</v>
      </c>
      <c r="F7" s="73" t="str">
        <f>MID(C7,FIND(".",C7)+1,4)</f>
        <v>1995</v>
      </c>
      <c r="G7" s="80">
        <f>VLOOKUP(D7,$B$17:$E$20,4,FALSE)</f>
        <v>4000000</v>
      </c>
      <c r="H7" s="80">
        <f>VLOOKUP(D7,$B$17:$E$20,MATCH(LEFT(E7,1),{"J";"K";"B";"G"}),FALSE)</f>
        <v>1000000</v>
      </c>
      <c r="I7" s="80">
        <f>HLOOKUP(MID(C7,FIND(".",C7)-1,1),TABELASURANSI,2,FALSE)</f>
        <v>300000</v>
      </c>
      <c r="J7" s="80">
        <f>G7+H7-I7</f>
        <v>4700000</v>
      </c>
      <c r="K7" s="82"/>
    </row>
    <row r="8" spans="1:14" x14ac:dyDescent="0.25">
      <c r="A8" s="70">
        <v>2</v>
      </c>
      <c r="B8" s="81" t="s">
        <v>244</v>
      </c>
      <c r="C8" s="70" t="s">
        <v>243</v>
      </c>
      <c r="D8" s="73" t="str">
        <f t="shared" ref="D8:D11" si="0">VLOOKUP(LEFT(C8,2),$A$17:$B$20,2,FALSE)</f>
        <v>Teknisi</v>
      </c>
      <c r="E8" s="73" t="str">
        <f>IF(MID(C8,FIND("-",C8)+1,1)="K","Kawin","Belum Kawin")</f>
        <v>Kawin</v>
      </c>
      <c r="F8" s="73" t="str">
        <f t="shared" ref="F8:F11" si="1">MID(C8,FIND(".",C8)+1,4)</f>
        <v>2002</v>
      </c>
      <c r="G8" s="80">
        <f t="shared" ref="G8:G11" si="2">VLOOKUP(D8,$B$17:$E$20,4,FALSE)</f>
        <v>2750000</v>
      </c>
      <c r="H8" s="80">
        <f>VLOOKUP(D8,$B$17:$E$20,MATCH(LEFT(E8,1),{"J";"K";"B";"G"}),FALSE)</f>
        <v>250000</v>
      </c>
      <c r="I8" s="80">
        <f>HLOOKUP(MID(C8,FIND(".",C8)-1,1),TABELASURANSI,2,FALSE)</f>
        <v>200000</v>
      </c>
      <c r="J8" s="80">
        <f t="shared" ref="J8:J11" si="3">G8+H8-I8</f>
        <v>2800000</v>
      </c>
    </row>
    <row r="9" spans="1:14" x14ac:dyDescent="0.25">
      <c r="A9" s="70">
        <v>3</v>
      </c>
      <c r="B9" s="81" t="s">
        <v>242</v>
      </c>
      <c r="C9" s="70" t="s">
        <v>241</v>
      </c>
      <c r="D9" s="73" t="str">
        <f t="shared" si="0"/>
        <v>Manajemen</v>
      </c>
      <c r="E9" s="73" t="str">
        <f t="shared" ref="E9:E11" si="4">IF(MID(C9,FIND("-",C9)+1,1)="K","Kawin","Belum Kawin")</f>
        <v>Kawin</v>
      </c>
      <c r="F9" s="73" t="str">
        <f t="shared" si="1"/>
        <v>1997</v>
      </c>
      <c r="G9" s="80">
        <f t="shared" si="2"/>
        <v>3500000</v>
      </c>
      <c r="H9" s="80">
        <f>VLOOKUP(D9,$B$17:$E$20,MATCH(LEFT(E9,1),{"J";"K";"B";"G"}),FALSE)</f>
        <v>750000</v>
      </c>
      <c r="I9" s="80">
        <f>HLOOKUP(MID(C9,FIND(".",C9)-1,1),TABELASURANSI,2,FALSE)</f>
        <v>300000</v>
      </c>
      <c r="J9" s="80">
        <f t="shared" si="3"/>
        <v>3950000</v>
      </c>
      <c r="M9" s="59" t="s">
        <v>253</v>
      </c>
      <c r="N9" s="59">
        <f>MATCH("K",{"J";"K";"B";"G"})</f>
        <v>2</v>
      </c>
    </row>
    <row r="10" spans="1:14" x14ac:dyDescent="0.25">
      <c r="A10" s="70">
        <v>4</v>
      </c>
      <c r="B10" s="81" t="s">
        <v>240</v>
      </c>
      <c r="C10" s="70" t="s">
        <v>239</v>
      </c>
      <c r="D10" s="73" t="str">
        <f t="shared" si="0"/>
        <v>Teknisi</v>
      </c>
      <c r="E10" s="73" t="str">
        <f t="shared" si="4"/>
        <v>Belum Kawin</v>
      </c>
      <c r="F10" s="73" t="str">
        <f t="shared" si="1"/>
        <v>2000</v>
      </c>
      <c r="G10" s="80">
        <f t="shared" si="2"/>
        <v>2750000</v>
      </c>
      <c r="H10" s="80">
        <f>VLOOKUP(D10,$B$17:$E$20,MATCH(LEFT(E10,1),{"J";"K";"B";"G"},),FALSE)</f>
        <v>150000</v>
      </c>
      <c r="I10" s="80">
        <f>HLOOKUP(MID(C10,FIND(".",C10)-1,1),TABELASURANSI,2,FALSE)</f>
        <v>100000</v>
      </c>
      <c r="J10" s="80">
        <f t="shared" si="3"/>
        <v>2800000</v>
      </c>
    </row>
    <row r="11" spans="1:14" ht="15.75" thickBot="1" x14ac:dyDescent="0.3">
      <c r="A11" s="78">
        <v>5</v>
      </c>
      <c r="B11" s="79" t="s">
        <v>238</v>
      </c>
      <c r="C11" s="78" t="s">
        <v>237</v>
      </c>
      <c r="D11" s="73" t="str">
        <f t="shared" si="0"/>
        <v>Administrasi</v>
      </c>
      <c r="E11" s="73" t="str">
        <f t="shared" si="4"/>
        <v>Kawin</v>
      </c>
      <c r="F11" s="73" t="str">
        <f t="shared" si="1"/>
        <v>1999</v>
      </c>
      <c r="G11" s="80">
        <f t="shared" si="2"/>
        <v>3000000</v>
      </c>
      <c r="H11" s="80">
        <f>VLOOKUP(D11,$B$17:$E$20,MATCH(LEFT(E11,1),{"J";"K";"B";"G"}),FALSE)</f>
        <v>500000</v>
      </c>
      <c r="I11" s="80">
        <f>HLOOKUP(MID(C11,FIND(".",C11)-1,1),TABELASURANSI,2,FALSE)</f>
        <v>200000</v>
      </c>
      <c r="J11" s="80">
        <f t="shared" si="3"/>
        <v>3300000</v>
      </c>
      <c r="M11" s="59" t="str">
        <f>MID(C7,FIND(".",C7)-1,1)</f>
        <v>1</v>
      </c>
    </row>
    <row r="12" spans="1:14" ht="15.75" thickTop="1" x14ac:dyDescent="0.25">
      <c r="A12" s="156" t="s">
        <v>50</v>
      </c>
      <c r="B12" s="156"/>
      <c r="C12" s="156"/>
      <c r="D12" s="156"/>
      <c r="E12" s="156"/>
      <c r="F12" s="156"/>
      <c r="G12" s="77">
        <f>SUM(G7:G11)</f>
        <v>16000000</v>
      </c>
      <c r="H12" s="77">
        <f>SUM(H7:H11)</f>
        <v>2650000</v>
      </c>
      <c r="I12" s="77">
        <f>SUM(I7:I11)</f>
        <v>1100000</v>
      </c>
      <c r="J12" s="77">
        <f>SUM(J7:J11)</f>
        <v>17550000</v>
      </c>
    </row>
    <row r="14" spans="1:14" x14ac:dyDescent="0.25">
      <c r="A14" s="76" t="s">
        <v>236</v>
      </c>
      <c r="G14" s="75" t="s">
        <v>235</v>
      </c>
    </row>
    <row r="15" spans="1:14" ht="15.75" thickBot="1" x14ac:dyDescent="0.3">
      <c r="A15" s="107" t="s">
        <v>93</v>
      </c>
      <c r="B15" s="107" t="s">
        <v>220</v>
      </c>
      <c r="C15" s="107" t="s">
        <v>212</v>
      </c>
      <c r="D15" s="107"/>
      <c r="E15" s="111" t="s">
        <v>214</v>
      </c>
      <c r="G15" s="153" t="s">
        <v>234</v>
      </c>
      <c r="H15" s="154"/>
      <c r="I15" s="155"/>
    </row>
    <row r="16" spans="1:14" ht="16.5" thickTop="1" thickBot="1" x14ac:dyDescent="0.3">
      <c r="A16" s="118"/>
      <c r="B16" s="118"/>
      <c r="C16" s="55" t="s">
        <v>233</v>
      </c>
      <c r="D16" s="55" t="s">
        <v>232</v>
      </c>
      <c r="E16" s="112"/>
      <c r="G16" s="74" t="s">
        <v>231</v>
      </c>
      <c r="H16" s="74" t="s">
        <v>230</v>
      </c>
      <c r="I16" s="74" t="s">
        <v>229</v>
      </c>
    </row>
    <row r="17" spans="1:9" ht="15.75" thickTop="1" x14ac:dyDescent="0.25">
      <c r="A17" s="73" t="s">
        <v>228</v>
      </c>
      <c r="B17" s="72" t="s">
        <v>227</v>
      </c>
      <c r="C17" s="71">
        <v>250000</v>
      </c>
      <c r="D17" s="71">
        <v>150000</v>
      </c>
      <c r="E17" s="71">
        <v>2750000</v>
      </c>
      <c r="G17" s="71">
        <v>300000</v>
      </c>
      <c r="H17" s="71">
        <v>200000</v>
      </c>
      <c r="I17" s="71">
        <v>100000</v>
      </c>
    </row>
    <row r="18" spans="1:9" x14ac:dyDescent="0.25">
      <c r="A18" s="70" t="s">
        <v>226</v>
      </c>
      <c r="B18" s="69" t="s">
        <v>225</v>
      </c>
      <c r="C18" s="68">
        <v>500000</v>
      </c>
      <c r="D18" s="68">
        <v>300000</v>
      </c>
      <c r="E18" s="68">
        <v>3000000</v>
      </c>
    </row>
    <row r="19" spans="1:9" x14ac:dyDescent="0.25">
      <c r="A19" s="70" t="s">
        <v>224</v>
      </c>
      <c r="B19" s="69" t="s">
        <v>223</v>
      </c>
      <c r="C19" s="68">
        <v>750000</v>
      </c>
      <c r="D19" s="68">
        <v>450000</v>
      </c>
      <c r="E19" s="68">
        <v>3500000</v>
      </c>
    </row>
    <row r="20" spans="1:9" x14ac:dyDescent="0.25">
      <c r="A20" s="70" t="s">
        <v>222</v>
      </c>
      <c r="B20" s="69" t="s">
        <v>221</v>
      </c>
      <c r="C20" s="68">
        <v>1000000</v>
      </c>
      <c r="D20" s="68">
        <v>600000</v>
      </c>
      <c r="E20" s="68">
        <v>4000000</v>
      </c>
      <c r="G20" s="59">
        <f>INDEX(H7:I11,1,2)</f>
        <v>300000</v>
      </c>
    </row>
    <row r="21" spans="1:9" ht="15.75" thickBot="1" x14ac:dyDescent="0.3"/>
    <row r="22" spans="1:9" x14ac:dyDescent="0.25">
      <c r="B22" s="67" t="s">
        <v>220</v>
      </c>
      <c r="C22" s="66" t="s">
        <v>219</v>
      </c>
      <c r="D22" s="66"/>
      <c r="E22" s="66"/>
      <c r="F22" s="66"/>
      <c r="G22" s="66"/>
      <c r="H22" s="66"/>
      <c r="I22" s="65"/>
    </row>
    <row r="23" spans="1:9" x14ac:dyDescent="0.25">
      <c r="A23" s="2"/>
      <c r="B23" s="64" t="s">
        <v>218</v>
      </c>
      <c r="C23" s="59" t="s">
        <v>217</v>
      </c>
      <c r="I23" s="63"/>
    </row>
    <row r="24" spans="1:9" x14ac:dyDescent="0.25">
      <c r="A24" s="2"/>
      <c r="B24" s="64" t="s">
        <v>216</v>
      </c>
      <c r="C24" s="59" t="s">
        <v>215</v>
      </c>
      <c r="I24" s="63"/>
    </row>
    <row r="25" spans="1:9" x14ac:dyDescent="0.25">
      <c r="A25" s="2"/>
      <c r="B25" s="64" t="s">
        <v>214</v>
      </c>
      <c r="C25" s="59" t="s">
        <v>213</v>
      </c>
      <c r="I25" s="63"/>
    </row>
    <row r="26" spans="1:9" x14ac:dyDescent="0.25">
      <c r="A26" s="2"/>
      <c r="B26" s="64" t="s">
        <v>212</v>
      </c>
      <c r="C26" s="59" t="s">
        <v>211</v>
      </c>
      <c r="I26" s="63"/>
    </row>
    <row r="27" spans="1:9" x14ac:dyDescent="0.25">
      <c r="B27" s="64" t="s">
        <v>210</v>
      </c>
      <c r="C27" s="59" t="s">
        <v>209</v>
      </c>
      <c r="I27" s="63"/>
    </row>
    <row r="28" spans="1:9" x14ac:dyDescent="0.25">
      <c r="B28" s="64" t="s">
        <v>208</v>
      </c>
      <c r="C28" s="59" t="s">
        <v>207</v>
      </c>
      <c r="I28" s="63"/>
    </row>
    <row r="29" spans="1:9" ht="15.75" thickBot="1" x14ac:dyDescent="0.3">
      <c r="B29" s="62" t="s">
        <v>206</v>
      </c>
      <c r="C29" s="61" t="s">
        <v>205</v>
      </c>
      <c r="D29" s="61"/>
      <c r="E29" s="61"/>
      <c r="F29" s="61"/>
      <c r="G29" s="61"/>
      <c r="H29" s="61"/>
      <c r="I29" s="60"/>
    </row>
  </sheetData>
  <mergeCells count="19">
    <mergeCell ref="A1:J1"/>
    <mergeCell ref="A2:J2"/>
    <mergeCell ref="A3:J3"/>
    <mergeCell ref="H5:H6"/>
    <mergeCell ref="J5:J6"/>
    <mergeCell ref="I5:I6"/>
    <mergeCell ref="G15:I15"/>
    <mergeCell ref="A15:A16"/>
    <mergeCell ref="C15:D15"/>
    <mergeCell ref="A5:A6"/>
    <mergeCell ref="C5:C6"/>
    <mergeCell ref="D5:D6"/>
    <mergeCell ref="E5:E6"/>
    <mergeCell ref="B15:B16"/>
    <mergeCell ref="A12:F12"/>
    <mergeCell ref="E15:E16"/>
    <mergeCell ref="B5:B6"/>
    <mergeCell ref="F5:F6"/>
    <mergeCell ref="G5:G6"/>
  </mergeCells>
  <pageMargins left="0.7" right="0.7" top="0.75" bottom="0.75" header="0.3" footer="0.3"/>
  <pageSetup paperSize="9" scale="60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BC25-F11F-4125-983C-038E445B307F}">
  <dimension ref="A1:L36"/>
  <sheetViews>
    <sheetView topLeftCell="A17" zoomScale="110" zoomScaleNormal="110" workbookViewId="0">
      <selection activeCell="K5" sqref="K5"/>
    </sheetView>
  </sheetViews>
  <sheetFormatPr defaultRowHeight="15" x14ac:dyDescent="0.25"/>
  <cols>
    <col min="1" max="1" width="15.28515625" bestFit="1" customWidth="1"/>
    <col min="2" max="2" width="16.28515625" customWidth="1"/>
    <col min="3" max="4" width="14.42578125" customWidth="1"/>
    <col min="5" max="5" width="13.42578125" customWidth="1"/>
    <col min="6" max="7" width="13.85546875" customWidth="1"/>
    <col min="8" max="9" width="13.28515625" customWidth="1"/>
    <col min="10" max="12" width="14.85546875" customWidth="1"/>
    <col min="13" max="13" width="13.85546875" customWidth="1"/>
  </cols>
  <sheetData>
    <row r="1" spans="1:12" ht="16.5" thickBot="1" x14ac:dyDescent="0.3">
      <c r="A1" s="162" t="s">
        <v>336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3" spans="1:12" x14ac:dyDescent="0.25">
      <c r="A3" s="85" t="s">
        <v>71</v>
      </c>
      <c r="B3" s="85" t="s">
        <v>335</v>
      </c>
      <c r="C3" s="85" t="s">
        <v>269</v>
      </c>
      <c r="D3" s="85" t="s">
        <v>267</v>
      </c>
      <c r="E3" s="85" t="s">
        <v>266</v>
      </c>
      <c r="F3" s="85" t="s">
        <v>264</v>
      </c>
      <c r="G3" s="85" t="s">
        <v>263</v>
      </c>
      <c r="H3" s="85" t="s">
        <v>261</v>
      </c>
      <c r="I3" s="85" t="s">
        <v>260</v>
      </c>
      <c r="J3" s="85" t="s">
        <v>259</v>
      </c>
      <c r="K3" s="85" t="s">
        <v>257</v>
      </c>
      <c r="L3" s="85" t="s">
        <v>255</v>
      </c>
    </row>
    <row r="4" spans="1:12" x14ac:dyDescent="0.25">
      <c r="A4" s="11">
        <v>1</v>
      </c>
      <c r="B4" s="11" t="s">
        <v>334</v>
      </c>
      <c r="C4" s="5" t="str">
        <f>VLOOKUP(LEFT(B4,2),$A$19:$B$25,2,FALSE)</f>
        <v>Pesona Bahari</v>
      </c>
      <c r="D4" s="5" t="str">
        <f>VLOOKUP(MID(B4,FIND("-",B4)-1,1),$D$19:$E$22,2,0)</f>
        <v>Pelabuhan 1</v>
      </c>
      <c r="E4" s="5" t="str">
        <f>VLOOKUP(MID(B4,FIND("-",B4)-1,1),$D$19:$F$22,3,0)</f>
        <v>Randhika</v>
      </c>
      <c r="F4" s="5" t="str">
        <f>HLOOKUP(RIGHT(B4,4),$B$13:$E$15,2,FALSE)</f>
        <v>Jakarta</v>
      </c>
      <c r="G4" s="5" t="str">
        <f>HLOOKUP(RIGHT(B4,4),$B$13:$E$15,3,FALSE)</f>
        <v>Surabaya</v>
      </c>
      <c r="H4" s="90" t="str">
        <f t="shared" ref="H4:H10" si="0">VLOOKUP(MID(B4,FIND("-",B4)+1,2),$H$19:$K$26,2,FALSE)</f>
        <v>Batubara</v>
      </c>
      <c r="I4" t="str">
        <f>VLOOKUP(MID(B4,FIND("-",B4,FIND("-",B4)+1)-FIND("-",B4)+2,2),$H$19:$I$26,2,0)</f>
        <v>Pasir Kuarsa</v>
      </c>
      <c r="J4" s="97">
        <f>VLOOKUP(H4,$I$19:$K$26,2,FALSE)</f>
        <v>350000</v>
      </c>
      <c r="K4" s="97">
        <f>VLOOKUP(I4,$I$19:$K$26,3,FALSE)</f>
        <v>450000</v>
      </c>
      <c r="L4" s="95">
        <f>SUM(J4:K4)</f>
        <v>800000</v>
      </c>
    </row>
    <row r="5" spans="1:12" x14ac:dyDescent="0.25">
      <c r="A5" s="11">
        <v>2</v>
      </c>
      <c r="B5" s="11" t="s">
        <v>333</v>
      </c>
      <c r="C5" s="5" t="str">
        <f t="shared" ref="C5:C10" si="1">VLOOKUP(LEFT(B5,2),$A$19:$B$25,2,FALSE)</f>
        <v>Tanjung Karang</v>
      </c>
      <c r="D5" s="5" t="str">
        <f t="shared" ref="D5:D10" si="2">VLOOKUP(MID(B5,FIND("-",B5)-1,1),$D$19:$E$22,2,0)</f>
        <v>Pelabuhan 3</v>
      </c>
      <c r="E5" s="5" t="str">
        <f t="shared" ref="E5:E10" si="3">VLOOKUP(MID(B5,FIND("-",B5)-1,1),$D$19:$F$22,3,0)</f>
        <v>Ferdianto</v>
      </c>
      <c r="F5" s="5" t="str">
        <f t="shared" ref="F5:F10" si="4">HLOOKUP(RIGHT(B5,4),$B$13:$E$15,2,FALSE)</f>
        <v>Surabaya</v>
      </c>
      <c r="G5" s="5" t="str">
        <f t="shared" ref="G5:G10" si="5">HLOOKUP(RIGHT(B5,4),$B$13:$E$15,3,FALSE)</f>
        <v>Singapura</v>
      </c>
      <c r="H5" s="90" t="str">
        <f t="shared" si="0"/>
        <v>Beras</v>
      </c>
      <c r="I5" t="str">
        <f t="shared" ref="I5:I10" si="6">VLOOKUP(MID(B5,FIND("-",B5,FIND("-",B5)+1)-FIND("-",B5)+2,2),$H$19:$I$26,2,0)</f>
        <v>Pupuk</v>
      </c>
      <c r="J5" s="97">
        <f t="shared" ref="J5:J10" si="7">VLOOKUP(H5,$I$19:$K$26,2,FALSE)</f>
        <v>400000</v>
      </c>
      <c r="K5" s="97">
        <f t="shared" ref="K5:K10" si="8">VLOOKUP(I5,$I$19:$K$26,3,FALSE)</f>
        <v>500000</v>
      </c>
      <c r="L5" s="95">
        <f t="shared" ref="L5:L10" si="9">SUM(J5:K5)</f>
        <v>900000</v>
      </c>
    </row>
    <row r="6" spans="1:12" x14ac:dyDescent="0.25">
      <c r="A6" s="11">
        <v>3</v>
      </c>
      <c r="B6" s="11" t="s">
        <v>332</v>
      </c>
      <c r="C6" s="5" t="str">
        <f t="shared" si="1"/>
        <v>Nyiur Hijau</v>
      </c>
      <c r="D6" s="5" t="str">
        <f t="shared" si="2"/>
        <v>Pelabuhan 2</v>
      </c>
      <c r="E6" s="5" t="str">
        <f t="shared" si="3"/>
        <v>Ardhana</v>
      </c>
      <c r="F6" s="5" t="str">
        <f t="shared" si="4"/>
        <v>Medan</v>
      </c>
      <c r="G6" s="5" t="str">
        <f t="shared" si="5"/>
        <v>Padang</v>
      </c>
      <c r="H6" s="90" t="str">
        <f t="shared" si="0"/>
        <v>Beras</v>
      </c>
      <c r="I6" t="str">
        <f t="shared" si="6"/>
        <v>Mobil</v>
      </c>
      <c r="J6" s="97">
        <f t="shared" si="7"/>
        <v>400000</v>
      </c>
      <c r="K6" s="97">
        <f t="shared" si="8"/>
        <v>600000</v>
      </c>
      <c r="L6" s="95">
        <f t="shared" si="9"/>
        <v>1000000</v>
      </c>
    </row>
    <row r="7" spans="1:12" x14ac:dyDescent="0.25">
      <c r="A7" s="11">
        <v>4</v>
      </c>
      <c r="B7" s="11" t="s">
        <v>331</v>
      </c>
      <c r="C7" s="5" t="str">
        <f t="shared" si="1"/>
        <v>Biru Langit</v>
      </c>
      <c r="D7" s="5" t="str">
        <f t="shared" si="2"/>
        <v>Pelabuhan 1</v>
      </c>
      <c r="E7" s="5" t="str">
        <f t="shared" si="3"/>
        <v>Randhika</v>
      </c>
      <c r="F7" s="5" t="str">
        <f t="shared" si="4"/>
        <v>Jakarta</v>
      </c>
      <c r="G7" s="5" t="str">
        <f t="shared" si="5"/>
        <v>Surabaya</v>
      </c>
      <c r="H7" s="90" t="str">
        <f t="shared" si="0"/>
        <v>Semen</v>
      </c>
      <c r="I7" t="str">
        <f t="shared" si="6"/>
        <v>CPO</v>
      </c>
      <c r="J7" s="97">
        <f t="shared" si="7"/>
        <v>450000</v>
      </c>
      <c r="K7" s="97">
        <f t="shared" si="8"/>
        <v>550000</v>
      </c>
      <c r="L7" s="95">
        <f t="shared" si="9"/>
        <v>1000000</v>
      </c>
    </row>
    <row r="8" spans="1:12" x14ac:dyDescent="0.25">
      <c r="A8" s="11">
        <v>5</v>
      </c>
      <c r="B8" s="11" t="s">
        <v>330</v>
      </c>
      <c r="C8" s="5" t="str">
        <f t="shared" si="1"/>
        <v>Sabda Alam</v>
      </c>
      <c r="D8" s="5" t="str">
        <f t="shared" si="2"/>
        <v>Pelabuhan 3</v>
      </c>
      <c r="E8" s="5" t="str">
        <f t="shared" si="3"/>
        <v>Ferdianto</v>
      </c>
      <c r="F8" s="5" t="str">
        <f t="shared" si="4"/>
        <v>Belawan</v>
      </c>
      <c r="G8" s="5" t="str">
        <f t="shared" si="5"/>
        <v>Pekanbaru</v>
      </c>
      <c r="H8" s="90" t="str">
        <f t="shared" si="0"/>
        <v>Nikel</v>
      </c>
      <c r="I8" t="str">
        <f t="shared" si="6"/>
        <v>Batubara</v>
      </c>
      <c r="J8" s="97">
        <f t="shared" si="7"/>
        <v>550000</v>
      </c>
      <c r="K8" s="97">
        <f t="shared" si="8"/>
        <v>450000</v>
      </c>
      <c r="L8" s="95">
        <f t="shared" si="9"/>
        <v>1000000</v>
      </c>
    </row>
    <row r="9" spans="1:12" x14ac:dyDescent="0.25">
      <c r="A9" s="11">
        <v>6</v>
      </c>
      <c r="B9" s="11" t="s">
        <v>329</v>
      </c>
      <c r="C9" s="5" t="str">
        <f t="shared" si="1"/>
        <v>Era Baru</v>
      </c>
      <c r="D9" s="5" t="str">
        <f t="shared" si="2"/>
        <v>Pelabuhan 2</v>
      </c>
      <c r="E9" s="5" t="str">
        <f t="shared" si="3"/>
        <v>Ardhana</v>
      </c>
      <c r="F9" s="5" t="str">
        <f t="shared" si="4"/>
        <v>Medan</v>
      </c>
      <c r="G9" s="5" t="str">
        <f t="shared" si="5"/>
        <v>Padang</v>
      </c>
      <c r="H9" s="90" t="str">
        <f t="shared" si="0"/>
        <v>Pupuk</v>
      </c>
      <c r="I9" t="str">
        <f t="shared" si="6"/>
        <v>Semen</v>
      </c>
      <c r="J9" s="97">
        <f t="shared" si="7"/>
        <v>400000</v>
      </c>
      <c r="K9" s="97">
        <f t="shared" si="8"/>
        <v>550000</v>
      </c>
      <c r="L9" s="95">
        <f t="shared" si="9"/>
        <v>950000</v>
      </c>
    </row>
    <row r="10" spans="1:12" x14ac:dyDescent="0.25">
      <c r="A10" s="11">
        <v>7</v>
      </c>
      <c r="B10" s="11" t="s">
        <v>328</v>
      </c>
      <c r="C10" s="5" t="str">
        <f t="shared" si="1"/>
        <v>Raja Samudera</v>
      </c>
      <c r="D10" s="5" t="str">
        <f t="shared" si="2"/>
        <v>Pelabuhan 4</v>
      </c>
      <c r="E10" s="5" t="str">
        <f t="shared" si="3"/>
        <v>Arimbi</v>
      </c>
      <c r="F10" s="5" t="str">
        <f t="shared" si="4"/>
        <v>Surabaya</v>
      </c>
      <c r="G10" s="5" t="str">
        <f t="shared" si="5"/>
        <v>Singapura</v>
      </c>
      <c r="H10" s="90" t="str">
        <f t="shared" si="0"/>
        <v>Pupuk</v>
      </c>
      <c r="I10" t="str">
        <f t="shared" si="6"/>
        <v>Beras</v>
      </c>
      <c r="J10" s="97">
        <f t="shared" si="7"/>
        <v>400000</v>
      </c>
      <c r="K10" s="97">
        <f t="shared" si="8"/>
        <v>500000</v>
      </c>
      <c r="L10" s="95">
        <f t="shared" si="9"/>
        <v>900000</v>
      </c>
    </row>
    <row r="11" spans="1:12" ht="15.75" thickBot="1" x14ac:dyDescent="0.3">
      <c r="A11" s="93"/>
      <c r="B11" s="93"/>
      <c r="C11" s="93"/>
      <c r="D11" s="93"/>
      <c r="E11" s="93"/>
      <c r="F11" s="93"/>
      <c r="G11" s="93"/>
      <c r="I11" s="159" t="s">
        <v>327</v>
      </c>
      <c r="J11" s="160"/>
      <c r="K11" s="161"/>
      <c r="L11" s="95">
        <f>SUM(L4:L10)</f>
        <v>6550000</v>
      </c>
    </row>
    <row r="12" spans="1:12" x14ac:dyDescent="0.25">
      <c r="A12" s="92" t="s">
        <v>326</v>
      </c>
      <c r="H12" s="96"/>
      <c r="I12" s="159" t="s">
        <v>325</v>
      </c>
      <c r="J12" s="160"/>
      <c r="K12" s="161"/>
      <c r="L12" s="95">
        <f>MAX(L4:L10)</f>
        <v>1000000</v>
      </c>
    </row>
    <row r="13" spans="1:12" x14ac:dyDescent="0.25">
      <c r="A13" s="9" t="s">
        <v>130</v>
      </c>
      <c r="B13" s="9" t="s">
        <v>324</v>
      </c>
      <c r="C13" s="9" t="s">
        <v>323</v>
      </c>
      <c r="D13" s="9" t="s">
        <v>322</v>
      </c>
      <c r="E13" s="9" t="s">
        <v>321</v>
      </c>
      <c r="H13" s="96"/>
      <c r="I13" s="159" t="s">
        <v>320</v>
      </c>
      <c r="J13" s="160"/>
      <c r="K13" s="161"/>
      <c r="L13" s="95">
        <f>MIN(L4:L10)</f>
        <v>800000</v>
      </c>
    </row>
    <row r="14" spans="1:12" x14ac:dyDescent="0.25">
      <c r="A14" s="9" t="s">
        <v>319</v>
      </c>
      <c r="B14" s="5" t="s">
        <v>318</v>
      </c>
      <c r="C14" s="5" t="s">
        <v>317</v>
      </c>
      <c r="D14" s="5" t="s">
        <v>316</v>
      </c>
      <c r="E14" s="5" t="s">
        <v>313</v>
      </c>
      <c r="H14" s="96"/>
      <c r="I14" s="159" t="s">
        <v>315</v>
      </c>
      <c r="J14" s="160"/>
      <c r="K14" s="161"/>
      <c r="L14" s="95">
        <f>AVERAGE(L4:L10)</f>
        <v>935714.28571428568</v>
      </c>
    </row>
    <row r="15" spans="1:12" ht="15.75" thickBot="1" x14ac:dyDescent="0.3">
      <c r="A15" s="9" t="s">
        <v>263</v>
      </c>
      <c r="B15" s="5" t="s">
        <v>314</v>
      </c>
      <c r="C15" s="5" t="s">
        <v>313</v>
      </c>
      <c r="D15" s="5" t="s">
        <v>312</v>
      </c>
      <c r="E15" s="5" t="s">
        <v>311</v>
      </c>
      <c r="H15" s="94"/>
      <c r="I15" s="93"/>
      <c r="J15" s="93"/>
      <c r="K15" s="93"/>
      <c r="L15" s="93"/>
    </row>
    <row r="17" spans="1:11" x14ac:dyDescent="0.25">
      <c r="A17" s="92" t="s">
        <v>310</v>
      </c>
      <c r="D17" s="92" t="s">
        <v>309</v>
      </c>
      <c r="H17" s="92" t="s">
        <v>308</v>
      </c>
    </row>
    <row r="18" spans="1:11" x14ac:dyDescent="0.25">
      <c r="A18" s="85" t="s">
        <v>130</v>
      </c>
      <c r="B18" s="85" t="s">
        <v>269</v>
      </c>
      <c r="D18" s="85" t="s">
        <v>130</v>
      </c>
      <c r="E18" s="85" t="s">
        <v>267</v>
      </c>
      <c r="F18" s="85" t="s">
        <v>266</v>
      </c>
      <c r="H18" s="85" t="s">
        <v>130</v>
      </c>
      <c r="I18" s="85" t="s">
        <v>307</v>
      </c>
      <c r="J18" s="85" t="s">
        <v>259</v>
      </c>
      <c r="K18" s="85" t="s">
        <v>257</v>
      </c>
    </row>
    <row r="19" spans="1:11" x14ac:dyDescent="0.25">
      <c r="A19" s="11" t="s">
        <v>306</v>
      </c>
      <c r="B19" s="5" t="s">
        <v>305</v>
      </c>
      <c r="D19" s="91" t="s">
        <v>231</v>
      </c>
      <c r="E19" s="5" t="s">
        <v>304</v>
      </c>
      <c r="F19" s="5" t="s">
        <v>303</v>
      </c>
      <c r="H19" s="11" t="s">
        <v>139</v>
      </c>
      <c r="I19" s="5" t="s">
        <v>302</v>
      </c>
      <c r="J19" s="90">
        <v>350000</v>
      </c>
      <c r="K19" s="90">
        <v>450000</v>
      </c>
    </row>
    <row r="20" spans="1:11" x14ac:dyDescent="0.25">
      <c r="A20" s="11" t="s">
        <v>301</v>
      </c>
      <c r="B20" s="5" t="s">
        <v>300</v>
      </c>
      <c r="D20" s="91" t="s">
        <v>230</v>
      </c>
      <c r="E20" s="5" t="s">
        <v>299</v>
      </c>
      <c r="F20" s="5" t="s">
        <v>298</v>
      </c>
      <c r="H20" s="11" t="s">
        <v>297</v>
      </c>
      <c r="I20" s="5" t="s">
        <v>296</v>
      </c>
      <c r="J20" s="90">
        <v>350000</v>
      </c>
      <c r="K20" s="90">
        <v>450000</v>
      </c>
    </row>
    <row r="21" spans="1:11" x14ac:dyDescent="0.25">
      <c r="A21" s="11" t="s">
        <v>228</v>
      </c>
      <c r="B21" s="5" t="s">
        <v>295</v>
      </c>
      <c r="D21" s="91" t="s">
        <v>229</v>
      </c>
      <c r="E21" s="5" t="s">
        <v>294</v>
      </c>
      <c r="F21" s="5" t="s">
        <v>293</v>
      </c>
      <c r="H21" s="11" t="s">
        <v>292</v>
      </c>
      <c r="I21" s="5" t="s">
        <v>291</v>
      </c>
      <c r="J21" s="90">
        <v>450000</v>
      </c>
      <c r="K21" s="90">
        <v>550000</v>
      </c>
    </row>
    <row r="22" spans="1:11" x14ac:dyDescent="0.25">
      <c r="A22" s="11" t="s">
        <v>290</v>
      </c>
      <c r="B22" s="5" t="s">
        <v>289</v>
      </c>
      <c r="D22" s="91" t="s">
        <v>288</v>
      </c>
      <c r="E22" s="5" t="s">
        <v>287</v>
      </c>
      <c r="F22" s="5" t="s">
        <v>286</v>
      </c>
      <c r="H22" s="11" t="s">
        <v>285</v>
      </c>
      <c r="I22" s="5" t="s">
        <v>284</v>
      </c>
      <c r="J22" s="90">
        <v>500000</v>
      </c>
      <c r="K22" s="90">
        <v>600000</v>
      </c>
    </row>
    <row r="23" spans="1:11" x14ac:dyDescent="0.25">
      <c r="A23" s="11" t="s">
        <v>283</v>
      </c>
      <c r="B23" s="5" t="s">
        <v>282</v>
      </c>
      <c r="H23" s="11" t="s">
        <v>281</v>
      </c>
      <c r="I23" s="5" t="s">
        <v>280</v>
      </c>
      <c r="J23" s="90">
        <v>400000</v>
      </c>
      <c r="K23" s="90">
        <v>500000</v>
      </c>
    </row>
    <row r="24" spans="1:11" x14ac:dyDescent="0.25">
      <c r="A24" s="11" t="s">
        <v>279</v>
      </c>
      <c r="B24" s="5" t="s">
        <v>278</v>
      </c>
      <c r="H24" s="11" t="s">
        <v>277</v>
      </c>
      <c r="I24" s="5" t="s">
        <v>276</v>
      </c>
      <c r="J24" s="90">
        <v>450000</v>
      </c>
      <c r="K24" s="90">
        <v>550000</v>
      </c>
    </row>
    <row r="25" spans="1:11" x14ac:dyDescent="0.25">
      <c r="A25" s="11" t="s">
        <v>275</v>
      </c>
      <c r="B25" s="5" t="s">
        <v>274</v>
      </c>
      <c r="H25" s="11" t="s">
        <v>273</v>
      </c>
      <c r="I25" s="5" t="s">
        <v>272</v>
      </c>
      <c r="J25" s="90">
        <v>400000</v>
      </c>
      <c r="K25" s="90">
        <v>500000</v>
      </c>
    </row>
    <row r="26" spans="1:11" x14ac:dyDescent="0.25">
      <c r="H26" s="11" t="s">
        <v>271</v>
      </c>
      <c r="I26" s="5" t="s">
        <v>270</v>
      </c>
      <c r="J26" s="90">
        <v>550000</v>
      </c>
      <c r="K26" s="90">
        <v>650000</v>
      </c>
    </row>
    <row r="27" spans="1:11" x14ac:dyDescent="0.25">
      <c r="A27" s="88" t="s">
        <v>269</v>
      </c>
      <c r="B27" s="87" t="s">
        <v>268</v>
      </c>
      <c r="D27" s="89"/>
    </row>
    <row r="28" spans="1:11" x14ac:dyDescent="0.25">
      <c r="A28" s="88" t="s">
        <v>267</v>
      </c>
      <c r="B28" s="87" t="s">
        <v>265</v>
      </c>
    </row>
    <row r="29" spans="1:11" x14ac:dyDescent="0.25">
      <c r="A29" s="88" t="s">
        <v>266</v>
      </c>
      <c r="B29" s="87" t="s">
        <v>265</v>
      </c>
    </row>
    <row r="30" spans="1:11" x14ac:dyDescent="0.25">
      <c r="A30" s="88" t="s">
        <v>264</v>
      </c>
      <c r="B30" s="87" t="s">
        <v>262</v>
      </c>
    </row>
    <row r="31" spans="1:11" x14ac:dyDescent="0.25">
      <c r="A31" s="88" t="s">
        <v>263</v>
      </c>
      <c r="B31" s="87" t="s">
        <v>262</v>
      </c>
    </row>
    <row r="32" spans="1:11" x14ac:dyDescent="0.25">
      <c r="A32" s="88" t="s">
        <v>261</v>
      </c>
      <c r="B32" s="87" t="s">
        <v>258</v>
      </c>
    </row>
    <row r="33" spans="1:2" x14ac:dyDescent="0.25">
      <c r="A33" s="88" t="s">
        <v>260</v>
      </c>
      <c r="B33" s="87" t="s">
        <v>256</v>
      </c>
    </row>
    <row r="34" spans="1:2" x14ac:dyDescent="0.25">
      <c r="A34" s="88" t="s">
        <v>259</v>
      </c>
      <c r="B34" s="87" t="s">
        <v>258</v>
      </c>
    </row>
    <row r="35" spans="1:2" x14ac:dyDescent="0.25">
      <c r="A35" s="88" t="s">
        <v>257</v>
      </c>
      <c r="B35" s="87" t="s">
        <v>256</v>
      </c>
    </row>
    <row r="36" spans="1:2" x14ac:dyDescent="0.25">
      <c r="A36" s="88" t="s">
        <v>255</v>
      </c>
      <c r="B36" s="87" t="s">
        <v>254</v>
      </c>
    </row>
  </sheetData>
  <mergeCells count="5">
    <mergeCell ref="I13:K13"/>
    <mergeCell ref="I14:K14"/>
    <mergeCell ref="A1:L1"/>
    <mergeCell ref="I11:K11"/>
    <mergeCell ref="I12:K12"/>
  </mergeCells>
  <pageMargins left="0.7" right="0.7" top="0.75" bottom="0.75" header="0.3" footer="0.3"/>
  <pageSetup paperSize="9" scale="4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D749-4820-4146-9D43-BB2FD3FD075E}">
  <dimension ref="A1:K29"/>
  <sheetViews>
    <sheetView tabSelected="1" topLeftCell="A3" zoomScale="120" zoomScaleNormal="120" zoomScaleSheetLayoutView="130" workbookViewId="0">
      <selection activeCell="K13" sqref="K13"/>
    </sheetView>
  </sheetViews>
  <sheetFormatPr defaultRowHeight="15" x14ac:dyDescent="0.25"/>
  <cols>
    <col min="1" max="1" width="5.85546875" style="59" bestFit="1" customWidth="1"/>
    <col min="2" max="2" width="17.7109375" style="59" bestFit="1" customWidth="1"/>
    <col min="3" max="3" width="15.5703125" style="59" bestFit="1" customWidth="1"/>
    <col min="4" max="4" width="14" style="59" bestFit="1" customWidth="1"/>
    <col min="5" max="5" width="15" style="59" customWidth="1"/>
    <col min="6" max="6" width="9.28515625" style="59" customWidth="1"/>
    <col min="7" max="10" width="15.140625" style="59" customWidth="1"/>
    <col min="11" max="16384" width="9.140625" style="59"/>
  </cols>
  <sheetData>
    <row r="1" spans="1:11" x14ac:dyDescent="0.25">
      <c r="A1" s="157" t="s">
        <v>252</v>
      </c>
      <c r="B1" s="157"/>
      <c r="C1" s="157"/>
      <c r="D1" s="157"/>
      <c r="E1" s="157"/>
      <c r="F1" s="157"/>
      <c r="G1" s="157"/>
      <c r="H1" s="157"/>
      <c r="I1" s="157"/>
      <c r="J1" s="157"/>
    </row>
    <row r="2" spans="1:11" x14ac:dyDescent="0.25">
      <c r="A2" s="157" t="s">
        <v>251</v>
      </c>
      <c r="B2" s="157"/>
      <c r="C2" s="157"/>
      <c r="D2" s="157"/>
      <c r="E2" s="157"/>
      <c r="F2" s="157"/>
      <c r="G2" s="157"/>
      <c r="H2" s="157"/>
      <c r="I2" s="157"/>
      <c r="J2" s="157"/>
    </row>
    <row r="3" spans="1:11" ht="15.75" thickBot="1" x14ac:dyDescent="0.3">
      <c r="A3" s="158" t="s">
        <v>250</v>
      </c>
      <c r="B3" s="158"/>
      <c r="C3" s="158"/>
      <c r="D3" s="158"/>
      <c r="E3" s="158"/>
      <c r="F3" s="158"/>
      <c r="G3" s="158"/>
      <c r="H3" s="158"/>
      <c r="I3" s="158"/>
      <c r="J3" s="158"/>
    </row>
    <row r="4" spans="1:11" x14ac:dyDescent="0.25">
      <c r="A4" s="84"/>
      <c r="B4" s="84"/>
      <c r="C4" s="84"/>
      <c r="D4" s="84"/>
      <c r="E4" s="84"/>
      <c r="F4" s="84"/>
      <c r="G4" s="84"/>
      <c r="H4" s="84"/>
      <c r="I4" s="84"/>
      <c r="J4" s="84"/>
    </row>
    <row r="5" spans="1:11" s="2" customFormat="1" x14ac:dyDescent="0.25">
      <c r="A5" s="107" t="s">
        <v>249</v>
      </c>
      <c r="B5" s="107" t="s">
        <v>248</v>
      </c>
      <c r="C5" s="107" t="s">
        <v>247</v>
      </c>
      <c r="D5" s="107" t="s">
        <v>220</v>
      </c>
      <c r="E5" s="107" t="s">
        <v>218</v>
      </c>
      <c r="F5" s="111" t="s">
        <v>216</v>
      </c>
      <c r="G5" s="111" t="s">
        <v>214</v>
      </c>
      <c r="H5" s="111" t="s">
        <v>212</v>
      </c>
      <c r="I5" s="111" t="s">
        <v>210</v>
      </c>
      <c r="J5" s="111" t="s">
        <v>208</v>
      </c>
    </row>
    <row r="6" spans="1:11" s="2" customFormat="1" ht="15.75" thickBot="1" x14ac:dyDescent="0.3">
      <c r="A6" s="118"/>
      <c r="B6" s="118"/>
      <c r="C6" s="118"/>
      <c r="D6" s="118"/>
      <c r="E6" s="118"/>
      <c r="F6" s="112"/>
      <c r="G6" s="112"/>
      <c r="H6" s="112"/>
      <c r="I6" s="112"/>
      <c r="J6" s="112"/>
    </row>
    <row r="7" spans="1:11" ht="15.75" thickTop="1" x14ac:dyDescent="0.25">
      <c r="A7" s="73">
        <v>1</v>
      </c>
      <c r="B7" s="83" t="s">
        <v>246</v>
      </c>
      <c r="C7" s="73" t="s">
        <v>245</v>
      </c>
      <c r="D7" s="73" t="str">
        <f>VLOOKUP(LEFT(C7,2),$A$17:$B$20,2,FALSE)</f>
        <v>Direktur</v>
      </c>
      <c r="E7" s="73" t="str">
        <f>IF(MID(C7,FIND("-",C7)+1,1)="K","Kawin","Belum Kawin")</f>
        <v>Kawin</v>
      </c>
      <c r="F7" s="73" t="str">
        <f>MID(C7,FIND(".",C7)+1,4)</f>
        <v>1995</v>
      </c>
      <c r="G7" s="80">
        <f>VLOOKUP(D7,$B$17:$E$20,4,FALSE)</f>
        <v>4000000</v>
      </c>
      <c r="H7" s="80">
        <f>VLOOKUP(D7,$B$17:$E$20,MATCH(LEFT(E7,1),{"J";"K";"B";"G"},0),FALSE)</f>
        <v>1000000</v>
      </c>
      <c r="I7" s="80">
        <f>HLOOKUP(MID(C7,FIND(".",C7)-1,1),TABELASURANSI,2,FALSE)</f>
        <v>300000</v>
      </c>
      <c r="J7" s="80">
        <f>G7+H7-I7</f>
        <v>4700000</v>
      </c>
      <c r="K7" s="82"/>
    </row>
    <row r="8" spans="1:11" x14ac:dyDescent="0.25">
      <c r="A8" s="70">
        <v>2</v>
      </c>
      <c r="B8" s="81" t="s">
        <v>244</v>
      </c>
      <c r="C8" s="70" t="s">
        <v>243</v>
      </c>
      <c r="D8" s="73" t="str">
        <f t="shared" ref="D8:D11" si="0">VLOOKUP(LEFT(C8,2),$A$17:$B$20,2,FALSE)</f>
        <v>Teknisi</v>
      </c>
      <c r="E8" s="73" t="str">
        <f t="shared" ref="E8:E11" si="1">IF(MID(C8,FIND("-",C8)+1,1)="K","Kawin","Belum Kawin")</f>
        <v>Kawin</v>
      </c>
      <c r="F8" s="73" t="str">
        <f t="shared" ref="F8:F11" si="2">MID(C8,FIND(".",C8)+1,4)</f>
        <v>2002</v>
      </c>
      <c r="G8" s="80">
        <f t="shared" ref="G8:G11" si="3">VLOOKUP(D8,$B$17:$E$20,4,FALSE)</f>
        <v>2750000</v>
      </c>
      <c r="H8" s="80">
        <f>VLOOKUP(D8,$B$17:$E$20,MATCH(LEFT(E8,1),{"J";"K";"B";"G"},0),FALSE)</f>
        <v>250000</v>
      </c>
      <c r="I8" s="80">
        <f>HLOOKUP(MID(C8,FIND(".",C8)-1,1),TABELASURANSI,2,FALSE)</f>
        <v>200000</v>
      </c>
      <c r="J8" s="80">
        <f t="shared" ref="J8:J12" si="4">G8+H8-I8</f>
        <v>2800000</v>
      </c>
    </row>
    <row r="9" spans="1:11" x14ac:dyDescent="0.25">
      <c r="A9" s="70">
        <v>3</v>
      </c>
      <c r="B9" s="81" t="s">
        <v>242</v>
      </c>
      <c r="C9" s="70" t="s">
        <v>241</v>
      </c>
      <c r="D9" s="73" t="str">
        <f t="shared" si="0"/>
        <v>Manajemen</v>
      </c>
      <c r="E9" s="73" t="str">
        <f t="shared" si="1"/>
        <v>Kawin</v>
      </c>
      <c r="F9" s="73" t="str">
        <f t="shared" si="2"/>
        <v>1997</v>
      </c>
      <c r="G9" s="80">
        <f t="shared" si="3"/>
        <v>3500000</v>
      </c>
      <c r="H9" s="80">
        <f>VLOOKUP(D9,$B$17:$E$20,MATCH(LEFT(E9,1),{"J";"K";"B";"G"},0),FALSE)</f>
        <v>750000</v>
      </c>
      <c r="I9" s="80">
        <f>HLOOKUP(MID(C9,FIND(".",C9)-1,1),TABELASURANSI,2,FALSE)</f>
        <v>300000</v>
      </c>
      <c r="J9" s="80">
        <f t="shared" si="4"/>
        <v>3950000</v>
      </c>
    </row>
    <row r="10" spans="1:11" x14ac:dyDescent="0.25">
      <c r="A10" s="70">
        <v>4</v>
      </c>
      <c r="B10" s="81" t="s">
        <v>240</v>
      </c>
      <c r="C10" s="70" t="s">
        <v>239</v>
      </c>
      <c r="D10" s="73" t="str">
        <f t="shared" si="0"/>
        <v>Teknisi</v>
      </c>
      <c r="E10" s="73" t="str">
        <f t="shared" si="1"/>
        <v>Belum Kawin</v>
      </c>
      <c r="F10" s="73" t="str">
        <f t="shared" si="2"/>
        <v>2000</v>
      </c>
      <c r="G10" s="80">
        <f t="shared" si="3"/>
        <v>2750000</v>
      </c>
      <c r="H10" s="80">
        <f>VLOOKUP(D10,$B$17:$E$20,MATCH(LEFT(E10,1),{"J";"K";"B";"G"},0),FALSE)</f>
        <v>150000</v>
      </c>
      <c r="I10" s="80">
        <f>HLOOKUP(MID(C10,FIND(".",C10)-1,1),TABELASURANSI,2,FALSE)</f>
        <v>100000</v>
      </c>
      <c r="J10" s="80">
        <f t="shared" si="4"/>
        <v>2800000</v>
      </c>
    </row>
    <row r="11" spans="1:11" ht="15.75" thickBot="1" x14ac:dyDescent="0.3">
      <c r="A11" s="78">
        <v>5</v>
      </c>
      <c r="B11" s="79" t="s">
        <v>238</v>
      </c>
      <c r="C11" s="78" t="s">
        <v>237</v>
      </c>
      <c r="D11" s="73" t="str">
        <f t="shared" si="0"/>
        <v>Administrasi</v>
      </c>
      <c r="E11" s="73" t="str">
        <f t="shared" si="1"/>
        <v>Kawin</v>
      </c>
      <c r="F11" s="73" t="str">
        <f t="shared" si="2"/>
        <v>1999</v>
      </c>
      <c r="G11" s="80">
        <f t="shared" si="3"/>
        <v>3000000</v>
      </c>
      <c r="H11" s="80">
        <f>VLOOKUP(D11,$B$17:$E$20,MATCH(LEFT(E11,1),{"J";"K";"B";"G"},0),FALSE)</f>
        <v>500000</v>
      </c>
      <c r="I11" s="80">
        <f>HLOOKUP(MID(C11,FIND(".",C11)-1,1),TABELASURANSI,2,FALSE)</f>
        <v>200000</v>
      </c>
      <c r="J11" s="80">
        <f t="shared" si="4"/>
        <v>3300000</v>
      </c>
    </row>
    <row r="12" spans="1:11" ht="15.75" thickTop="1" x14ac:dyDescent="0.25">
      <c r="A12" s="156" t="s">
        <v>50</v>
      </c>
      <c r="B12" s="156"/>
      <c r="C12" s="156"/>
      <c r="D12" s="156"/>
      <c r="E12" s="156"/>
      <c r="F12" s="156"/>
      <c r="G12" s="77">
        <f>SUM(G7:G11)</f>
        <v>16000000</v>
      </c>
      <c r="H12" s="77">
        <f>SUM(H7:H11)</f>
        <v>2650000</v>
      </c>
      <c r="I12" s="77">
        <f>SUM(I7:I11)</f>
        <v>1100000</v>
      </c>
      <c r="J12" s="77">
        <f t="shared" si="4"/>
        <v>17550000</v>
      </c>
    </row>
    <row r="14" spans="1:11" x14ac:dyDescent="0.25">
      <c r="A14" s="76" t="s">
        <v>236</v>
      </c>
      <c r="G14" s="75" t="s">
        <v>235</v>
      </c>
      <c r="J14" s="59" t="str">
        <f>MID(C7,FIND("-",C7)+1,1)</f>
        <v>K</v>
      </c>
    </row>
    <row r="15" spans="1:11" ht="15.75" thickBot="1" x14ac:dyDescent="0.3">
      <c r="A15" s="107" t="s">
        <v>93</v>
      </c>
      <c r="B15" s="107" t="s">
        <v>220</v>
      </c>
      <c r="C15" s="107" t="s">
        <v>212</v>
      </c>
      <c r="D15" s="107"/>
      <c r="E15" s="111" t="s">
        <v>214</v>
      </c>
      <c r="G15" s="153" t="s">
        <v>234</v>
      </c>
      <c r="H15" s="154"/>
      <c r="I15" s="155"/>
      <c r="J15" s="59">
        <f>MATCH(LEFT(E7,1),{"J";"K";"B";"G"},0)</f>
        <v>2</v>
      </c>
    </row>
    <row r="16" spans="1:11" ht="16.5" thickTop="1" thickBot="1" x14ac:dyDescent="0.3">
      <c r="A16" s="118"/>
      <c r="B16" s="118"/>
      <c r="C16" s="86" t="s">
        <v>233</v>
      </c>
      <c r="D16" s="86" t="s">
        <v>232</v>
      </c>
      <c r="E16" s="112"/>
      <c r="G16" s="74" t="s">
        <v>231</v>
      </c>
      <c r="H16" s="74" t="s">
        <v>230</v>
      </c>
      <c r="I16" s="74" t="s">
        <v>229</v>
      </c>
      <c r="J16" s="59">
        <f>FIND(".",C7)</f>
        <v>6</v>
      </c>
    </row>
    <row r="17" spans="1:10" ht="15.75" thickTop="1" x14ac:dyDescent="0.25">
      <c r="A17" s="73" t="s">
        <v>228</v>
      </c>
      <c r="B17" s="72" t="s">
        <v>227</v>
      </c>
      <c r="C17" s="71">
        <v>250000</v>
      </c>
      <c r="D17" s="71">
        <v>150000</v>
      </c>
      <c r="E17" s="71">
        <v>2750000</v>
      </c>
      <c r="G17" s="71">
        <v>300000</v>
      </c>
      <c r="H17" s="71">
        <v>200000</v>
      </c>
      <c r="I17" s="71">
        <v>100000</v>
      </c>
      <c r="J17" s="59" t="str">
        <f>MID(C7,J16-1,1)</f>
        <v>1</v>
      </c>
    </row>
    <row r="18" spans="1:10" x14ac:dyDescent="0.25">
      <c r="A18" s="70" t="s">
        <v>226</v>
      </c>
      <c r="B18" s="69" t="s">
        <v>225</v>
      </c>
      <c r="C18" s="68">
        <v>500000</v>
      </c>
      <c r="D18" s="68">
        <v>300000</v>
      </c>
      <c r="E18" s="68">
        <v>3000000</v>
      </c>
    </row>
    <row r="19" spans="1:10" x14ac:dyDescent="0.25">
      <c r="A19" s="70" t="s">
        <v>224</v>
      </c>
      <c r="B19" s="69" t="s">
        <v>223</v>
      </c>
      <c r="C19" s="68">
        <v>750000</v>
      </c>
      <c r="D19" s="68">
        <v>450000</v>
      </c>
      <c r="E19" s="68">
        <v>3500000</v>
      </c>
    </row>
    <row r="20" spans="1:10" x14ac:dyDescent="0.25">
      <c r="A20" s="70" t="s">
        <v>222</v>
      </c>
      <c r="B20" s="69" t="s">
        <v>221</v>
      </c>
      <c r="C20" s="68">
        <v>1000000</v>
      </c>
      <c r="D20" s="68">
        <v>600000</v>
      </c>
      <c r="E20" s="68">
        <v>4000000</v>
      </c>
    </row>
    <row r="21" spans="1:10" ht="15.75" thickBot="1" x14ac:dyDescent="0.3"/>
    <row r="22" spans="1:10" x14ac:dyDescent="0.25">
      <c r="B22" s="67" t="s">
        <v>220</v>
      </c>
      <c r="C22" s="66" t="s">
        <v>219</v>
      </c>
      <c r="D22" s="66"/>
      <c r="E22" s="66"/>
      <c r="F22" s="66"/>
      <c r="G22" s="66"/>
      <c r="H22" s="66"/>
      <c r="I22" s="65"/>
    </row>
    <row r="23" spans="1:10" x14ac:dyDescent="0.25">
      <c r="A23" s="2"/>
      <c r="B23" s="64" t="s">
        <v>218</v>
      </c>
      <c r="C23" s="59" t="s">
        <v>217</v>
      </c>
      <c r="I23" s="63"/>
    </row>
    <row r="24" spans="1:10" x14ac:dyDescent="0.25">
      <c r="A24" s="2"/>
      <c r="B24" s="64" t="s">
        <v>216</v>
      </c>
      <c r="C24" s="59" t="s">
        <v>215</v>
      </c>
      <c r="I24" s="63"/>
    </row>
    <row r="25" spans="1:10" x14ac:dyDescent="0.25">
      <c r="A25" s="2"/>
      <c r="B25" s="64" t="s">
        <v>214</v>
      </c>
      <c r="C25" s="59" t="s">
        <v>213</v>
      </c>
      <c r="I25" s="63"/>
    </row>
    <row r="26" spans="1:10" x14ac:dyDescent="0.25">
      <c r="A26" s="2"/>
      <c r="B26" s="64" t="s">
        <v>212</v>
      </c>
      <c r="C26" s="59" t="s">
        <v>211</v>
      </c>
      <c r="I26" s="63"/>
    </row>
    <row r="27" spans="1:10" x14ac:dyDescent="0.25">
      <c r="B27" s="64" t="s">
        <v>210</v>
      </c>
      <c r="C27" s="59" t="s">
        <v>209</v>
      </c>
      <c r="I27" s="63"/>
    </row>
    <row r="28" spans="1:10" x14ac:dyDescent="0.25">
      <c r="B28" s="64" t="s">
        <v>208</v>
      </c>
      <c r="C28" s="59" t="s">
        <v>207</v>
      </c>
      <c r="I28" s="63"/>
    </row>
    <row r="29" spans="1:10" ht="15.75" thickBot="1" x14ac:dyDescent="0.3">
      <c r="B29" s="62" t="s">
        <v>206</v>
      </c>
      <c r="C29" s="61" t="s">
        <v>205</v>
      </c>
      <c r="D29" s="61"/>
      <c r="E29" s="61"/>
      <c r="F29" s="61"/>
      <c r="G29" s="61"/>
      <c r="H29" s="61"/>
      <c r="I29" s="60"/>
    </row>
  </sheetData>
  <mergeCells count="19">
    <mergeCell ref="A1:J1"/>
    <mergeCell ref="A2:J2"/>
    <mergeCell ref="A3:J3"/>
    <mergeCell ref="C15:D15"/>
    <mergeCell ref="A5:A6"/>
    <mergeCell ref="C5:C6"/>
    <mergeCell ref="D5:D6"/>
    <mergeCell ref="E5:E6"/>
    <mergeCell ref="H5:H6"/>
    <mergeCell ref="B15:B16"/>
    <mergeCell ref="J5:J6"/>
    <mergeCell ref="I5:I6"/>
    <mergeCell ref="A12:F12"/>
    <mergeCell ref="E15:E16"/>
    <mergeCell ref="G15:I15"/>
    <mergeCell ref="A15:A16"/>
    <mergeCell ref="B5:B6"/>
    <mergeCell ref="F5:F6"/>
    <mergeCell ref="G5:G6"/>
  </mergeCells>
  <pageMargins left="0.7" right="0.7" top="0.75" bottom="0.75" header="0.3" footer="0.3"/>
  <pageSetup paperSize="9" scale="6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Tiket</vt:lpstr>
      <vt:lpstr>Gaji</vt:lpstr>
      <vt:lpstr>Laporan Harian</vt:lpstr>
      <vt:lpstr>tiket_2</vt:lpstr>
      <vt:lpstr>peminjaman</vt:lpstr>
      <vt:lpstr>gaji2</vt:lpstr>
      <vt:lpstr>TABEL SOAL</vt:lpstr>
      <vt:lpstr>Gaji3</vt:lpstr>
      <vt:lpstr>gaji2!Print_Area</vt:lpstr>
      <vt:lpstr>Gaji3!Print_Area</vt:lpstr>
      <vt:lpstr>TABEL_GAJI</vt:lpstr>
      <vt:lpstr>TABEL_KELAS</vt:lpstr>
      <vt:lpstr>TABEL_SETORAN</vt:lpstr>
      <vt:lpstr>TABEL_TIKET</vt:lpstr>
      <vt:lpstr>Gaji3!TABELASURANSI</vt:lpstr>
      <vt:lpstr>TABELASURANSI</vt:lpstr>
      <vt:lpstr>Gaji3!TABELGAJI</vt:lpstr>
      <vt:lpstr>TABELGAJI</vt:lpstr>
      <vt:lpstr>Table_Gaji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azzaury</dc:creator>
  <cp:lastModifiedBy>M. Rizky Suherlan</cp:lastModifiedBy>
  <dcterms:created xsi:type="dcterms:W3CDTF">2023-08-07T09:44:56Z</dcterms:created>
  <dcterms:modified xsi:type="dcterms:W3CDTF">2026-10-01T13:48:10Z</dcterms:modified>
</cp:coreProperties>
</file>